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CFC0C87-EF56-4498-9733-636CBBE8B9F8}" xr6:coauthVersionLast="47" xr6:coauthVersionMax="47" xr10:uidLastSave="{00000000-0000-0000-0000-000000000000}"/>
  <bookViews>
    <workbookView xWindow="-120" yWindow="-120" windowWidth="20730" windowHeight="11160" xr2:uid="{03FA894D-06CF-4DE9-BD50-A10C109296C6}"/>
  </bookViews>
  <sheets>
    <sheet name="Hoja1" sheetId="1" r:id="rId1"/>
    <sheet name="Hoja2" sheetId="2" r:id="rId2"/>
  </sheets>
  <definedNames>
    <definedName name="CALIFICACION">Hoja2!$A$1:$A$11</definedName>
    <definedName name="Cantón">Hoja2!$D:$D</definedName>
    <definedName name="Código">Hoja2!$AA$1:$AA$56</definedName>
    <definedName name="Evento">Hoja2!$P$1:$P$47</definedName>
    <definedName name="Tipo_de_cantón">Hoja2!$G$1:$G$6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7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5" i="1"/>
  <c r="N6" i="1"/>
  <c r="P6" i="1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5" i="1"/>
  <c r="L3" i="2"/>
  <c r="L4" i="2"/>
  <c r="L5" i="2"/>
  <c r="L6" i="2"/>
  <c r="L7" i="2"/>
  <c r="L8" i="2"/>
  <c r="L9" i="2"/>
  <c r="L10" i="2"/>
  <c r="L2" i="2"/>
  <c r="D338" i="1"/>
  <c r="B2" i="1"/>
  <c r="D332" i="1"/>
  <c r="D326" i="1"/>
  <c r="D320" i="1"/>
  <c r="D313" i="1"/>
  <c r="D307" i="1"/>
  <c r="D301" i="1"/>
  <c r="D294" i="1"/>
  <c r="D288" i="1"/>
  <c r="D282" i="1"/>
  <c r="D276" i="1"/>
  <c r="D270" i="1"/>
  <c r="D263" i="1"/>
  <c r="D251" i="1"/>
  <c r="D245" i="1"/>
  <c r="D239" i="1"/>
  <c r="D233" i="1"/>
  <c r="D226" i="1"/>
  <c r="D220" i="1"/>
  <c r="D214" i="1"/>
  <c r="D208" i="1"/>
  <c r="D202" i="1"/>
  <c r="D196" i="1"/>
  <c r="D190" i="1"/>
  <c r="D184" i="1"/>
  <c r="D178" i="1"/>
  <c r="D172" i="1"/>
  <c r="D165" i="1"/>
  <c r="D159" i="1"/>
  <c r="D153" i="1"/>
  <c r="D147" i="1"/>
  <c r="D141" i="1"/>
  <c r="D134" i="1"/>
  <c r="D128" i="1"/>
  <c r="D122" i="1"/>
  <c r="D116" i="1"/>
  <c r="D110" i="1"/>
  <c r="D104" i="1"/>
  <c r="D97" i="1"/>
  <c r="D91" i="1"/>
  <c r="D85" i="1"/>
  <c r="D79" i="1"/>
  <c r="D73" i="1"/>
  <c r="D67" i="1"/>
  <c r="D61" i="1"/>
  <c r="D55" i="1"/>
  <c r="D49" i="1"/>
  <c r="D43" i="1"/>
  <c r="D36" i="1"/>
  <c r="D30" i="1"/>
  <c r="D24" i="1"/>
  <c r="D18" i="1"/>
  <c r="D12" i="1"/>
  <c r="D6" i="1"/>
  <c r="P5" i="1" l="1"/>
  <c r="F2" i="1" s="1"/>
  <c r="C318" i="1"/>
  <c r="M9" i="2"/>
  <c r="M5" i="2"/>
  <c r="L11" i="2"/>
  <c r="M2" i="2" s="1"/>
  <c r="M4" i="2"/>
  <c r="M7" i="2"/>
  <c r="C299" i="1"/>
  <c r="C268" i="1"/>
  <c r="C231" i="1"/>
  <c r="C170" i="1"/>
  <c r="C139" i="1"/>
  <c r="C41" i="1"/>
  <c r="C4" i="1"/>
  <c r="C102" i="1"/>
  <c r="M10" i="2" l="1"/>
  <c r="M3" i="2"/>
  <c r="E2" i="1" s="1"/>
  <c r="G2" i="1" s="1"/>
  <c r="M8" i="2"/>
  <c r="M6" i="2"/>
</calcChain>
</file>

<file path=xl/sharedStrings.xml><?xml version="1.0" encoding="utf-8"?>
<sst xmlns="http://schemas.openxmlformats.org/spreadsheetml/2006/main" count="1296" uniqueCount="847">
  <si>
    <t>Variable V1. Unidad Municipal de Gestión de Riesgos creada</t>
  </si>
  <si>
    <t>Variable V2. Responsable técnico especializado</t>
  </si>
  <si>
    <t>Variable V3. Número de técnicos de la UGR</t>
  </si>
  <si>
    <r>
      <t>P3.4</t>
    </r>
    <r>
      <rPr>
        <sz val="11"/>
        <color theme="1"/>
        <rFont val="Calibri"/>
        <family val="2"/>
        <scheme val="minor"/>
      </rPr>
      <t xml:space="preserve"> La carga laboral del personal técnico es adecuada.</t>
    </r>
  </si>
  <si>
    <r>
      <t>P3.5</t>
    </r>
    <r>
      <rPr>
        <sz val="11"/>
        <color theme="1"/>
        <rFont val="Calibri"/>
        <family val="2"/>
        <scheme val="minor"/>
      </rPr>
      <t xml:space="preserve"> Existen mecanismos para incorporar personal adicional durante emergencias.</t>
    </r>
  </si>
  <si>
    <t>Variable V5. COE Cantonal operativo</t>
  </si>
  <si>
    <r>
      <t>P5.5</t>
    </r>
    <r>
      <rPr>
        <sz val="11"/>
        <color theme="1"/>
        <rFont val="Calibri"/>
        <family val="2"/>
        <scheme val="minor"/>
      </rPr>
      <t xml:space="preserve"> El COE puede mantenerse operativo durante eventos prolongados.</t>
    </r>
  </si>
  <si>
    <t>Variable V6. Sesiones anuales del COE</t>
  </si>
  <si>
    <t>Variable V7. Incorporación del riesgo en el PDOT</t>
  </si>
  <si>
    <r>
      <t>P7.1</t>
    </r>
    <r>
      <rPr>
        <sz val="11"/>
        <color theme="1"/>
        <rFont val="Calibri"/>
        <family val="2"/>
        <scheme val="minor"/>
      </rPr>
      <t xml:space="preserve"> El PDOT incorpora análisis de amenazas.</t>
    </r>
  </si>
  <si>
    <r>
      <t>P7.2</t>
    </r>
    <r>
      <rPr>
        <sz val="11"/>
        <color theme="1"/>
        <rFont val="Calibri"/>
        <family val="2"/>
        <scheme val="minor"/>
      </rPr>
      <t xml:space="preserve"> El PDOT incorpora análisis de vulnerabilidad.</t>
    </r>
  </si>
  <si>
    <r>
      <t>P7.3</t>
    </r>
    <r>
      <rPr>
        <sz val="11"/>
        <color theme="1"/>
        <rFont val="Calibri"/>
        <family val="2"/>
        <scheme val="minor"/>
      </rPr>
      <t xml:space="preserve"> El PDOT identifica zonas de riesgo.</t>
    </r>
  </si>
  <si>
    <r>
      <t>P7.4</t>
    </r>
    <r>
      <rPr>
        <sz val="11"/>
        <color theme="1"/>
        <rFont val="Calibri"/>
        <family val="2"/>
        <scheme val="minor"/>
      </rPr>
      <t xml:space="preserve"> El PDOT propone medidas de reducción del riesgo.</t>
    </r>
  </si>
  <si>
    <r>
      <t>P7.5</t>
    </r>
    <r>
      <rPr>
        <sz val="11"/>
        <color theme="1"/>
        <rFont val="Calibri"/>
        <family val="2"/>
        <scheme val="minor"/>
      </rPr>
      <t xml:space="preserve"> El PDOT se actualiza periódicamente.</t>
    </r>
  </si>
  <si>
    <t>Variable V8. Incorporación del riesgo en el PUGS</t>
  </si>
  <si>
    <r>
      <t>P8.1</t>
    </r>
    <r>
      <rPr>
        <sz val="11"/>
        <color theme="1"/>
        <rFont val="Calibri"/>
        <family val="2"/>
        <scheme val="minor"/>
      </rPr>
      <t xml:space="preserve"> El PUGS restringe usos del suelo en áreas peligrosas.</t>
    </r>
  </si>
  <si>
    <r>
      <t>P8.2</t>
    </r>
    <r>
      <rPr>
        <sz val="11"/>
        <color theme="1"/>
        <rFont val="Calibri"/>
        <family val="2"/>
        <scheme val="minor"/>
      </rPr>
      <t xml:space="preserve"> El PUGS considera escenarios de inundación.</t>
    </r>
  </si>
  <si>
    <r>
      <t>P8.3</t>
    </r>
    <r>
      <rPr>
        <sz val="11"/>
        <color theme="1"/>
        <rFont val="Calibri"/>
        <family val="2"/>
        <scheme val="minor"/>
      </rPr>
      <t xml:space="preserve"> El PUGS regula asentamientos humanos en zonas expuestas.</t>
    </r>
  </si>
  <si>
    <r>
      <t>P8.4</t>
    </r>
    <r>
      <rPr>
        <sz val="11"/>
        <color theme="1"/>
        <rFont val="Calibri"/>
        <family val="2"/>
        <scheme val="minor"/>
      </rPr>
      <t xml:space="preserve"> El PUGS incorpora criterios de adaptación climática.</t>
    </r>
  </si>
  <si>
    <r>
      <t>P8.5</t>
    </r>
    <r>
      <rPr>
        <sz val="11"/>
        <color theme="1"/>
        <rFont val="Calibri"/>
        <family val="2"/>
        <scheme val="minor"/>
      </rPr>
      <t xml:space="preserve"> El PUGS se actualiza considerando nueva información de riesgo.</t>
    </r>
  </si>
  <si>
    <t>I. GOBERNANZA INSTITUCIONAL</t>
  </si>
  <si>
    <r>
      <t>P1.1</t>
    </r>
    <r>
      <rPr>
        <sz val="11"/>
        <color theme="1"/>
        <rFont val="Calibri"/>
        <family val="2"/>
        <scheme val="minor"/>
      </rPr>
      <t xml:space="preserve"> El GADM cuenta con una Unidad de Gestión Integral del Riesgo creada mediante resolución administrativa vigente.</t>
    </r>
  </si>
  <si>
    <r>
      <t>P1.2</t>
    </r>
    <r>
      <rPr>
        <sz val="11"/>
        <color theme="1"/>
        <rFont val="Calibri"/>
        <family val="2"/>
        <scheme val="minor"/>
      </rPr>
      <t xml:space="preserve"> La Unidad de Gestión de Riesgos está incorporada en la estructura orgánica institucional.</t>
    </r>
  </si>
  <si>
    <r>
      <t>P1.3</t>
    </r>
    <r>
      <rPr>
        <sz val="11"/>
        <color theme="1"/>
        <rFont val="Calibri"/>
        <family val="2"/>
        <scheme val="minor"/>
      </rPr>
      <t xml:space="preserve"> La Unidad dispone de espacio físico exclusivo para el desarrollo de sus actividades.</t>
    </r>
  </si>
  <si>
    <r>
      <t>P1.4</t>
    </r>
    <r>
      <rPr>
        <sz val="11"/>
        <color theme="1"/>
        <rFont val="Calibri"/>
        <family val="2"/>
        <scheme val="minor"/>
      </rPr>
      <t xml:space="preserve"> La Unidad cuenta con equipamiento tecnológico suficiente para cumplir sus funciones.</t>
    </r>
  </si>
  <si>
    <r>
      <t>P1.5</t>
    </r>
    <r>
      <rPr>
        <sz val="11"/>
        <color theme="1"/>
        <rFont val="Calibri"/>
        <family val="2"/>
        <scheme val="minor"/>
      </rPr>
      <t xml:space="preserve"> La Unidad mantiene continuidad operativa independientemente de cambios de autoridades.</t>
    </r>
  </si>
  <si>
    <r>
      <t>P2.1</t>
    </r>
    <r>
      <rPr>
        <sz val="11"/>
        <color theme="1"/>
        <rFont val="Calibri"/>
        <family val="2"/>
        <scheme val="minor"/>
      </rPr>
      <t xml:space="preserve"> El responsable posee formación académica relacionada con gestión del riesgo.</t>
    </r>
  </si>
  <si>
    <r>
      <t>P2.2</t>
    </r>
    <r>
      <rPr>
        <sz val="11"/>
        <color theme="1"/>
        <rFont val="Calibri"/>
        <family val="2"/>
        <scheme val="minor"/>
      </rPr>
      <t xml:space="preserve"> El responsable posee experiencia profesional en reducción del riesgo de desastres.</t>
    </r>
  </si>
  <si>
    <r>
      <t>P2.3</t>
    </r>
    <r>
      <rPr>
        <sz val="11"/>
        <color theme="1"/>
        <rFont val="Calibri"/>
        <family val="2"/>
        <scheme val="minor"/>
      </rPr>
      <t xml:space="preserve"> El responsable participa en programas de capacitación continua.</t>
    </r>
  </si>
  <si>
    <r>
      <t>P2.4</t>
    </r>
    <r>
      <rPr>
        <sz val="11"/>
        <color theme="1"/>
        <rFont val="Calibri"/>
        <family val="2"/>
        <scheme val="minor"/>
      </rPr>
      <t xml:space="preserve"> El responsable conoce las competencias municipales establecidas en la LOGIRD.</t>
    </r>
  </si>
  <si>
    <r>
      <t>P2.5</t>
    </r>
    <r>
      <rPr>
        <sz val="11"/>
        <color theme="1"/>
        <rFont val="Calibri"/>
        <family val="2"/>
        <scheme val="minor"/>
      </rPr>
      <t xml:space="preserve"> El perfil profesional del responsable es adecuado para dirigir procesos de gestión del riesgo.</t>
    </r>
  </si>
  <si>
    <r>
      <t>P3.1</t>
    </r>
    <r>
      <rPr>
        <sz val="11"/>
        <color theme="1"/>
        <rFont val="Calibri"/>
        <family val="2"/>
        <scheme val="minor"/>
      </rPr>
      <t xml:space="preserve"> El número de técnicos asignados es suficiente para cubrir las competencias municipales.</t>
    </r>
  </si>
  <si>
    <r>
      <t>P3.2</t>
    </r>
    <r>
      <rPr>
        <sz val="11"/>
        <color theme="1"/>
        <rFont val="Calibri"/>
        <family val="2"/>
        <scheme val="minor"/>
      </rPr>
      <t xml:space="preserve"> El personal técnico permite atender simultáneamente procesos de prevención, mitigación, preparación y respuesta.</t>
    </r>
  </si>
  <si>
    <r>
      <t>P3.3</t>
    </r>
    <r>
      <rPr>
        <sz val="11"/>
        <color theme="1"/>
        <rFont val="Calibri"/>
        <family val="2"/>
        <scheme val="minor"/>
      </rPr>
      <t xml:space="preserve"> La Unidad cuenta con profesionales de diferentes disciplinas.</t>
    </r>
  </si>
  <si>
    <t>Variable V4. Comité Cantonal de Gestión Integral del Riesgo</t>
  </si>
  <si>
    <r>
      <t>P4.1</t>
    </r>
    <r>
      <rPr>
        <sz val="11"/>
        <color theme="1"/>
        <rFont val="Calibri"/>
        <family val="2"/>
        <scheme val="minor"/>
      </rPr>
      <t xml:space="preserve"> El Comité Cantonal está legalmente conformado.</t>
    </r>
  </si>
  <si>
    <r>
      <t>P4.2</t>
    </r>
    <r>
      <rPr>
        <sz val="11"/>
        <color theme="1"/>
        <rFont val="Calibri"/>
        <family val="2"/>
        <scheme val="minor"/>
      </rPr>
      <t xml:space="preserve"> El Comité cuenta con reglamento interno.</t>
    </r>
  </si>
  <si>
    <r>
      <t>P4.3</t>
    </r>
    <r>
      <rPr>
        <sz val="11"/>
        <color theme="1"/>
        <rFont val="Calibri"/>
        <family val="2"/>
        <scheme val="minor"/>
      </rPr>
      <t xml:space="preserve"> Las instituciones integrantes participan activamente.</t>
    </r>
  </si>
  <si>
    <r>
      <t>P4.4</t>
    </r>
    <r>
      <rPr>
        <sz val="11"/>
        <color theme="1"/>
        <rFont val="Calibri"/>
        <family val="2"/>
        <scheme val="minor"/>
      </rPr>
      <t xml:space="preserve"> Se realiza seguimiento a los acuerdos adoptados.</t>
    </r>
  </si>
  <si>
    <r>
      <t>P4.5</t>
    </r>
    <r>
      <rPr>
        <sz val="11"/>
        <color theme="1"/>
        <rFont val="Calibri"/>
        <family val="2"/>
        <scheme val="minor"/>
      </rPr>
      <t xml:space="preserve"> El Comité coordina acciones interinstitucionales de forma efectiva.</t>
    </r>
  </si>
  <si>
    <r>
      <t>P5.1</t>
    </r>
    <r>
      <rPr>
        <sz val="11"/>
        <color theme="1"/>
        <rFont val="Calibri"/>
        <family val="2"/>
        <scheme val="minor"/>
      </rPr>
      <t xml:space="preserve"> El COE dispone de protocolos actualizados.</t>
    </r>
  </si>
  <si>
    <r>
      <t>P5.2</t>
    </r>
    <r>
      <rPr>
        <sz val="11"/>
        <color theme="1"/>
        <rFont val="Calibri"/>
        <family val="2"/>
        <scheme val="minor"/>
      </rPr>
      <t xml:space="preserve"> El COE posee instalaciones adecuadas.</t>
    </r>
  </si>
  <si>
    <r>
      <t>P5.3</t>
    </r>
    <r>
      <rPr>
        <sz val="11"/>
        <color theme="1"/>
        <rFont val="Calibri"/>
        <family val="2"/>
        <scheme val="minor"/>
      </rPr>
      <t xml:space="preserve"> Existen sistemas redundantes de comunicación.</t>
    </r>
  </si>
  <si>
    <r>
      <t>P5.4</t>
    </r>
    <r>
      <rPr>
        <sz val="11"/>
        <color theme="1"/>
        <rFont val="Calibri"/>
        <family val="2"/>
        <scheme val="minor"/>
      </rPr>
      <t xml:space="preserve"> El personal conoce sus funciones específicas.</t>
    </r>
  </si>
  <si>
    <r>
      <t>P6.1</t>
    </r>
    <r>
      <rPr>
        <sz val="11"/>
        <color theme="1"/>
        <rFont val="Calibri"/>
        <family val="2"/>
        <scheme val="minor"/>
      </rPr>
      <t xml:space="preserve"> El COE realiza reuniones periódicas.</t>
    </r>
  </si>
  <si>
    <r>
      <t>P6.2</t>
    </r>
    <r>
      <rPr>
        <sz val="11"/>
        <color theme="1"/>
        <rFont val="Calibri"/>
        <family val="2"/>
        <scheme val="minor"/>
      </rPr>
      <t xml:space="preserve"> Las reuniones son convocadas oportunamente.</t>
    </r>
  </si>
  <si>
    <r>
      <t>P6.3</t>
    </r>
    <r>
      <rPr>
        <sz val="11"/>
        <color theme="1"/>
        <rFont val="Calibri"/>
        <family val="2"/>
        <scheme val="minor"/>
      </rPr>
      <t xml:space="preserve"> Se elaboran actas de cada sesión.</t>
    </r>
  </si>
  <si>
    <r>
      <t>P6.4</t>
    </r>
    <r>
      <rPr>
        <sz val="11"/>
        <color theme="1"/>
        <rFont val="Calibri"/>
        <family val="2"/>
        <scheme val="minor"/>
      </rPr>
      <t xml:space="preserve"> Las recomendaciones son implementadas.</t>
    </r>
  </si>
  <si>
    <r>
      <t>P6.5</t>
    </r>
    <r>
      <rPr>
        <sz val="11"/>
        <color theme="1"/>
        <rFont val="Calibri"/>
        <family val="2"/>
        <scheme val="minor"/>
      </rPr>
      <t xml:space="preserve"> Las sesiones contribuyen al mejoramiento institucional.</t>
    </r>
  </si>
  <si>
    <t>II. PLANIFICACIÓN TERRITORIAL</t>
  </si>
  <si>
    <t>Variable V9. Escenarios prospectivos</t>
  </si>
  <si>
    <r>
      <t>P9.1</t>
    </r>
    <r>
      <rPr>
        <sz val="11"/>
        <color theme="1"/>
        <rFont val="Calibri"/>
        <family val="2"/>
        <scheme val="minor"/>
      </rPr>
      <t xml:space="preserve"> Se han elaborado escenarios de riesgo futuros.</t>
    </r>
  </si>
  <si>
    <r>
      <t>P9.2</t>
    </r>
    <r>
      <rPr>
        <sz val="11"/>
        <color theme="1"/>
        <rFont val="Calibri"/>
        <family val="2"/>
        <scheme val="minor"/>
      </rPr>
      <t xml:space="preserve"> Los escenarios consideran crecimiento urbano.</t>
    </r>
  </si>
  <si>
    <r>
      <t>P9.3</t>
    </r>
    <r>
      <rPr>
        <sz val="11"/>
        <color theme="1"/>
        <rFont val="Calibri"/>
        <family val="2"/>
        <scheme val="minor"/>
      </rPr>
      <t xml:space="preserve"> Se incluyen efectos del cambio climático.</t>
    </r>
  </si>
  <si>
    <r>
      <t>P9.4</t>
    </r>
    <r>
      <rPr>
        <sz val="11"/>
        <color theme="1"/>
        <rFont val="Calibri"/>
        <family val="2"/>
        <scheme val="minor"/>
      </rPr>
      <t xml:space="preserve"> Los escenarios sirven para priorizar inversiones.</t>
    </r>
  </si>
  <si>
    <r>
      <t>P9.5</t>
    </r>
    <r>
      <rPr>
        <sz val="11"/>
        <color theme="1"/>
        <rFont val="Calibri"/>
        <family val="2"/>
        <scheme val="minor"/>
      </rPr>
      <t xml:space="preserve"> Los escenarios son difundidos entre actores locales.</t>
    </r>
  </si>
  <si>
    <t>Variable V10. Mapas de amenazas</t>
  </si>
  <si>
    <r>
      <t>P10.1</t>
    </r>
    <r>
      <rPr>
        <sz val="11"/>
        <color theme="1"/>
        <rFont val="Calibri"/>
        <family val="2"/>
        <scheme val="minor"/>
      </rPr>
      <t xml:space="preserve"> Existen mapas de inundación.</t>
    </r>
  </si>
  <si>
    <r>
      <t>P10.2</t>
    </r>
    <r>
      <rPr>
        <sz val="11"/>
        <color theme="1"/>
        <rFont val="Calibri"/>
        <family val="2"/>
        <scheme val="minor"/>
      </rPr>
      <t xml:space="preserve"> Existen mapas de movimientos en masa.</t>
    </r>
  </si>
  <si>
    <r>
      <t>P10.3</t>
    </r>
    <r>
      <rPr>
        <sz val="11"/>
        <color theme="1"/>
        <rFont val="Calibri"/>
        <family val="2"/>
        <scheme val="minor"/>
      </rPr>
      <t xml:space="preserve"> Existen mapas sísmicos.</t>
    </r>
  </si>
  <si>
    <r>
      <t>P10.4</t>
    </r>
    <r>
      <rPr>
        <sz val="11"/>
        <color theme="1"/>
        <rFont val="Calibri"/>
        <family val="2"/>
        <scheme val="minor"/>
      </rPr>
      <t xml:space="preserve"> Los mapas poseen escalas adecuadas.</t>
    </r>
  </si>
  <si>
    <r>
      <t>P10.5</t>
    </r>
    <r>
      <rPr>
        <sz val="11"/>
        <color theme="1"/>
        <rFont val="Calibri"/>
        <family val="2"/>
        <scheme val="minor"/>
      </rPr>
      <t xml:space="preserve"> Los mapas son actualizados periódicamente.</t>
    </r>
  </si>
  <si>
    <t>Variable V11. Mapas de riesgo</t>
  </si>
  <si>
    <r>
      <t>P11.1</t>
    </r>
    <r>
      <rPr>
        <sz val="11"/>
        <color theme="1"/>
        <rFont val="Calibri"/>
        <family val="2"/>
        <scheme val="minor"/>
      </rPr>
      <t xml:space="preserve"> El municipio dispone de mapas integrales de riesgo.</t>
    </r>
  </si>
  <si>
    <r>
      <t>P11.2</t>
    </r>
    <r>
      <rPr>
        <sz val="11"/>
        <color theme="1"/>
        <rFont val="Calibri"/>
        <family val="2"/>
        <scheme val="minor"/>
      </rPr>
      <t xml:space="preserve"> Los mapas identifican población expuesta.</t>
    </r>
  </si>
  <si>
    <r>
      <t>P11.3</t>
    </r>
    <r>
      <rPr>
        <sz val="11"/>
        <color theme="1"/>
        <rFont val="Calibri"/>
        <family val="2"/>
        <scheme val="minor"/>
      </rPr>
      <t xml:space="preserve"> Los mapas incluyen infraestructura crítica.</t>
    </r>
  </si>
  <si>
    <r>
      <t>P11.4</t>
    </r>
    <r>
      <rPr>
        <sz val="11"/>
        <color theme="1"/>
        <rFont val="Calibri"/>
        <family val="2"/>
        <scheme val="minor"/>
      </rPr>
      <t xml:space="preserve"> Los mapas son utilizados para planificación.</t>
    </r>
  </si>
  <si>
    <r>
      <t>P11.5</t>
    </r>
    <r>
      <rPr>
        <sz val="11"/>
        <color theme="1"/>
        <rFont val="Calibri"/>
        <family val="2"/>
        <scheme val="minor"/>
      </rPr>
      <t xml:space="preserve"> La información geográfica es accesible a las instituciones.</t>
    </r>
  </si>
  <si>
    <t>Variable V12. Infraestructura crítica inventariada</t>
  </si>
  <si>
    <r>
      <t>P12.1</t>
    </r>
    <r>
      <rPr>
        <sz val="11"/>
        <color theme="1"/>
        <rFont val="Calibri"/>
        <family val="2"/>
        <scheme val="minor"/>
      </rPr>
      <t xml:space="preserve"> Existe inventario de hospitales.</t>
    </r>
  </si>
  <si>
    <r>
      <t>P12.2</t>
    </r>
    <r>
      <rPr>
        <sz val="11"/>
        <color theme="1"/>
        <rFont val="Calibri"/>
        <family val="2"/>
        <scheme val="minor"/>
      </rPr>
      <t xml:space="preserve"> Existe inventario de escuelas.</t>
    </r>
  </si>
  <si>
    <r>
      <t>P12.3</t>
    </r>
    <r>
      <rPr>
        <sz val="11"/>
        <color theme="1"/>
        <rFont val="Calibri"/>
        <family val="2"/>
        <scheme val="minor"/>
      </rPr>
      <t xml:space="preserve"> Existe inventario de sistemas de agua potable.</t>
    </r>
  </si>
  <si>
    <r>
      <t>P12.4</t>
    </r>
    <r>
      <rPr>
        <sz val="11"/>
        <color theme="1"/>
        <rFont val="Calibri"/>
        <family val="2"/>
        <scheme val="minor"/>
      </rPr>
      <t xml:space="preserve"> Existe inventario de vías estratégicas.</t>
    </r>
  </si>
  <si>
    <r>
      <t>P12.5</t>
    </r>
    <r>
      <rPr>
        <sz val="11"/>
        <color theme="1"/>
        <rFont val="Calibri"/>
        <family val="2"/>
        <scheme val="minor"/>
      </rPr>
      <t xml:space="preserve"> El inventario se actualiza regularmente.</t>
    </r>
  </si>
  <si>
    <t>Variable V13. Monitoreo permanente de amenazas</t>
  </si>
  <si>
    <r>
      <t>P13.1</t>
    </r>
    <r>
      <rPr>
        <sz val="11"/>
        <color theme="1"/>
        <rFont val="Calibri"/>
        <family val="2"/>
        <scheme val="minor"/>
      </rPr>
      <t xml:space="preserve"> Se monitorean precipitaciones extremas.</t>
    </r>
  </si>
  <si>
    <r>
      <t>P13.2</t>
    </r>
    <r>
      <rPr>
        <sz val="11"/>
        <color theme="1"/>
        <rFont val="Calibri"/>
        <family val="2"/>
        <scheme val="minor"/>
      </rPr>
      <t xml:space="preserve"> Se monitorean deslizamientos.</t>
    </r>
  </si>
  <si>
    <r>
      <t>P13.3</t>
    </r>
    <r>
      <rPr>
        <sz val="11"/>
        <color theme="1"/>
        <rFont val="Calibri"/>
        <family val="2"/>
        <scheme val="minor"/>
      </rPr>
      <t xml:space="preserve"> Se monitorean caudales de ríos.</t>
    </r>
  </si>
  <si>
    <r>
      <t>P13.4</t>
    </r>
    <r>
      <rPr>
        <sz val="11"/>
        <color theme="1"/>
        <rFont val="Calibri"/>
        <family val="2"/>
        <scheme val="minor"/>
      </rPr>
      <t xml:space="preserve"> Existen mecanismos de alerta por actividad volcánica.</t>
    </r>
  </si>
  <si>
    <r>
      <t>P13.5</t>
    </r>
    <r>
      <rPr>
        <sz val="11"/>
        <color theme="1"/>
        <rFont val="Calibri"/>
        <family val="2"/>
        <scheme val="minor"/>
      </rPr>
      <t xml:space="preserve"> La información de monitoreo se utiliza para toma de decisiones.</t>
    </r>
  </si>
  <si>
    <t>Variable V14. Protocolos de intercambio de información</t>
  </si>
  <si>
    <r>
      <t>P14.1</t>
    </r>
    <r>
      <rPr>
        <sz val="11"/>
        <color theme="1"/>
        <rFont val="Calibri"/>
        <family val="2"/>
        <scheme val="minor"/>
      </rPr>
      <t xml:space="preserve"> Existen protocolos escritos.</t>
    </r>
  </si>
  <si>
    <r>
      <t>P14.2</t>
    </r>
    <r>
      <rPr>
        <sz val="11"/>
        <color theme="1"/>
        <rFont val="Calibri"/>
        <family val="2"/>
        <scheme val="minor"/>
      </rPr>
      <t xml:space="preserve"> Las instituciones conocen dichos protocolos.</t>
    </r>
  </si>
  <si>
    <r>
      <t>P14.3</t>
    </r>
    <r>
      <rPr>
        <sz val="11"/>
        <color theme="1"/>
        <rFont val="Calibri"/>
        <family val="2"/>
        <scheme val="minor"/>
      </rPr>
      <t xml:space="preserve"> La información se comparte oportunamente.</t>
    </r>
  </si>
  <si>
    <r>
      <t>P14.4</t>
    </r>
    <r>
      <rPr>
        <sz val="11"/>
        <color theme="1"/>
        <rFont val="Calibri"/>
        <family val="2"/>
        <scheme val="minor"/>
      </rPr>
      <t xml:space="preserve"> Existen responsables designados para intercambio de información.</t>
    </r>
  </si>
  <si>
    <r>
      <t>P14.5</t>
    </r>
    <r>
      <rPr>
        <sz val="11"/>
        <color theme="1"/>
        <rFont val="Calibri"/>
        <family val="2"/>
        <scheme val="minor"/>
      </rPr>
      <t xml:space="preserve"> Los protocolos se actualizan periódicamente.</t>
    </r>
  </si>
  <si>
    <t>Variable V15. Capacitación comunitaria</t>
  </si>
  <si>
    <r>
      <t>P15.1</t>
    </r>
    <r>
      <rPr>
        <sz val="11"/>
        <color theme="1"/>
        <rFont val="Calibri"/>
        <family val="2"/>
        <scheme val="minor"/>
      </rPr>
      <t xml:space="preserve"> Se realizan capacitaciones comunitarias.</t>
    </r>
  </si>
  <si>
    <r>
      <t>P15.2</t>
    </r>
    <r>
      <rPr>
        <sz val="11"/>
        <color theme="1"/>
        <rFont val="Calibri"/>
        <family val="2"/>
        <scheme val="minor"/>
      </rPr>
      <t xml:space="preserve"> Participan líderes barriales.</t>
    </r>
  </si>
  <si>
    <r>
      <t>P15.3</t>
    </r>
    <r>
      <rPr>
        <sz val="11"/>
        <color theme="1"/>
        <rFont val="Calibri"/>
        <family val="2"/>
        <scheme val="minor"/>
      </rPr>
      <t xml:space="preserve"> Se capacitan grupos prioritarios.</t>
    </r>
  </si>
  <si>
    <r>
      <t>P15.4</t>
    </r>
    <r>
      <rPr>
        <sz val="11"/>
        <color theme="1"/>
        <rFont val="Calibri"/>
        <family val="2"/>
        <scheme val="minor"/>
      </rPr>
      <t xml:space="preserve"> Se evalúa el aprendizaje de participantes.</t>
    </r>
  </si>
  <si>
    <r>
      <t>P15.5</t>
    </r>
    <r>
      <rPr>
        <sz val="11"/>
        <color theme="1"/>
        <rFont val="Calibri"/>
        <family val="2"/>
        <scheme val="minor"/>
      </rPr>
      <t xml:space="preserve"> Existe seguimiento posterior a las capacitaciones.</t>
    </r>
  </si>
  <si>
    <t>Variable V16. Presupuesto para conocimiento del riesgo</t>
  </si>
  <si>
    <r>
      <t>P16.1</t>
    </r>
    <r>
      <rPr>
        <sz val="11"/>
        <color theme="1"/>
        <rFont val="Calibri"/>
        <family val="2"/>
        <scheme val="minor"/>
      </rPr>
      <t xml:space="preserve"> El municipio asigna presupuesto para estudios de amenaza.</t>
    </r>
  </si>
  <si>
    <r>
      <t>P16.2</t>
    </r>
    <r>
      <rPr>
        <sz val="11"/>
        <color theme="1"/>
        <rFont val="Calibri"/>
        <family val="2"/>
        <scheme val="minor"/>
      </rPr>
      <t xml:space="preserve"> Existen recursos para estudios de vulnerabilidad.</t>
    </r>
  </si>
  <si>
    <r>
      <t>P16.3</t>
    </r>
    <r>
      <rPr>
        <sz val="11"/>
        <color theme="1"/>
        <rFont val="Calibri"/>
        <family val="2"/>
        <scheme val="minor"/>
      </rPr>
      <t xml:space="preserve"> Se financian investigaciones técnicas.</t>
    </r>
  </si>
  <si>
    <r>
      <t>P16.4</t>
    </r>
    <r>
      <rPr>
        <sz val="11"/>
        <color theme="1"/>
        <rFont val="Calibri"/>
        <family val="2"/>
        <scheme val="minor"/>
      </rPr>
      <t xml:space="preserve"> Se adquieren equipos de monitoreo.</t>
    </r>
  </si>
  <si>
    <r>
      <t>P16.5</t>
    </r>
    <r>
      <rPr>
        <sz val="11"/>
        <color theme="1"/>
        <rFont val="Calibri"/>
        <family val="2"/>
        <scheme val="minor"/>
      </rPr>
      <t xml:space="preserve"> El presupuesto es suficiente para actualizar información de riesgos.</t>
    </r>
  </si>
  <si>
    <t>III. PREVENCIÓN DEL RIESGO</t>
  </si>
  <si>
    <t>Variable 17. Ordenanza municipal de gestión de riesgos</t>
  </si>
  <si>
    <r>
      <t>P17.1</t>
    </r>
    <r>
      <rPr>
        <sz val="11"/>
        <color theme="1"/>
        <rFont val="Calibri"/>
        <family val="2"/>
        <scheme val="minor"/>
      </rPr>
      <t xml:space="preserve"> El GADM dispone de una ordenanza específica sobre gestión integral del riesgo de desastres.</t>
    </r>
  </si>
  <si>
    <r>
      <t>P17.2</t>
    </r>
    <r>
      <rPr>
        <sz val="11"/>
        <color theme="1"/>
        <rFont val="Calibri"/>
        <family val="2"/>
        <scheme val="minor"/>
      </rPr>
      <t xml:space="preserve"> La ordenanza se encuentra vigente y actualizada.</t>
    </r>
  </si>
  <si>
    <r>
      <t>P17.3</t>
    </r>
    <r>
      <rPr>
        <sz val="11"/>
        <color theme="1"/>
        <rFont val="Calibri"/>
        <family val="2"/>
        <scheme val="minor"/>
      </rPr>
      <t xml:space="preserve"> La ordenanza establece claramente competencias institucionales.</t>
    </r>
  </si>
  <si>
    <r>
      <t>P17.4</t>
    </r>
    <r>
      <rPr>
        <sz val="11"/>
        <color theme="1"/>
        <rFont val="Calibri"/>
        <family val="2"/>
        <scheme val="minor"/>
      </rPr>
      <t xml:space="preserve"> La ordenanza incorpora mecanismos de seguimiento.</t>
    </r>
  </si>
  <si>
    <r>
      <t>P17.5</t>
    </r>
    <r>
      <rPr>
        <sz val="11"/>
        <color theme="1"/>
        <rFont val="Calibri"/>
        <family val="2"/>
        <scheme val="minor"/>
      </rPr>
      <t xml:space="preserve"> La ordenanza es aplicada en la gestión municipal.</t>
    </r>
  </si>
  <si>
    <t>Variable 18. Normativa de control de construcciones</t>
  </si>
  <si>
    <r>
      <t>P18.1</t>
    </r>
    <r>
      <rPr>
        <sz val="11"/>
        <color theme="1"/>
        <rFont val="Calibri"/>
        <family val="2"/>
        <scheme val="minor"/>
      </rPr>
      <t xml:space="preserve"> Existen regulaciones para edificaciones en zonas expuestas.</t>
    </r>
  </si>
  <si>
    <r>
      <t>P18.2</t>
    </r>
    <r>
      <rPr>
        <sz val="11"/>
        <color theme="1"/>
        <rFont val="Calibri"/>
        <family val="2"/>
        <scheme val="minor"/>
      </rPr>
      <t xml:space="preserve"> Se realizan inspecciones periódicas.</t>
    </r>
  </si>
  <si>
    <r>
      <t>P18.3</t>
    </r>
    <r>
      <rPr>
        <sz val="11"/>
        <color theme="1"/>
        <rFont val="Calibri"/>
        <family val="2"/>
        <scheme val="minor"/>
      </rPr>
      <t xml:space="preserve"> Se aplican sanciones por incumplimiento.</t>
    </r>
  </si>
  <si>
    <r>
      <t>P18.4</t>
    </r>
    <r>
      <rPr>
        <sz val="11"/>
        <color theme="1"/>
        <rFont val="Calibri"/>
        <family val="2"/>
        <scheme val="minor"/>
      </rPr>
      <t xml:space="preserve"> Se exige cumplimiento de normas sismorresistentes.</t>
    </r>
  </si>
  <si>
    <r>
      <t>P18.5</t>
    </r>
    <r>
      <rPr>
        <sz val="11"/>
        <color theme="1"/>
        <rFont val="Calibri"/>
        <family val="2"/>
        <scheme val="minor"/>
      </rPr>
      <t xml:space="preserve"> Los permisos de construcción consideran análisis de amenazas.</t>
    </r>
  </si>
  <si>
    <t>Variable 19. Sistema de alerta temprana</t>
  </si>
  <si>
    <r>
      <t>P19.1</t>
    </r>
    <r>
      <rPr>
        <sz val="11"/>
        <color theme="1"/>
        <rFont val="Calibri"/>
        <family val="2"/>
        <scheme val="minor"/>
      </rPr>
      <t xml:space="preserve"> El municipio cuenta con sistemas de alerta temprana.</t>
    </r>
  </si>
  <si>
    <r>
      <t>P19.2</t>
    </r>
    <r>
      <rPr>
        <sz val="11"/>
        <color theme="1"/>
        <rFont val="Calibri"/>
        <family val="2"/>
        <scheme val="minor"/>
      </rPr>
      <t xml:space="preserve"> Los equipos funcionan adecuadamente.</t>
    </r>
  </si>
  <si>
    <r>
      <t>P19.3</t>
    </r>
    <r>
      <rPr>
        <sz val="11"/>
        <color theme="1"/>
        <rFont val="Calibri"/>
        <family val="2"/>
        <scheme val="minor"/>
      </rPr>
      <t xml:space="preserve"> La población conoce el significado de las alertas.</t>
    </r>
  </si>
  <si>
    <r>
      <t>P19.4</t>
    </r>
    <r>
      <rPr>
        <sz val="11"/>
        <color theme="1"/>
        <rFont val="Calibri"/>
        <family val="2"/>
        <scheme val="minor"/>
      </rPr>
      <t xml:space="preserve"> Se realizan pruebas periódicas.</t>
    </r>
  </si>
  <si>
    <r>
      <t>P19.5</t>
    </r>
    <r>
      <rPr>
        <sz val="11"/>
        <color theme="1"/>
        <rFont val="Calibri"/>
        <family val="2"/>
        <scheme val="minor"/>
      </rPr>
      <t xml:space="preserve"> El sistema cubre las principales amenazas.</t>
    </r>
  </si>
  <si>
    <t>Variable 20. Sistema de información de riesgos</t>
  </si>
  <si>
    <r>
      <t>P20.1</t>
    </r>
    <r>
      <rPr>
        <sz val="11"/>
        <color theme="1"/>
        <rFont val="Calibri"/>
        <family val="2"/>
        <scheme val="minor"/>
      </rPr>
      <t xml:space="preserve"> Existe una plataforma informática de gestión del riesgo.</t>
    </r>
  </si>
  <si>
    <r>
      <t>P20.2</t>
    </r>
    <r>
      <rPr>
        <sz val="11"/>
        <color theme="1"/>
        <rFont val="Calibri"/>
        <family val="2"/>
        <scheme val="minor"/>
      </rPr>
      <t xml:space="preserve"> La información es actualizada regularmente.</t>
    </r>
  </si>
  <si>
    <r>
      <t>P20.3</t>
    </r>
    <r>
      <rPr>
        <sz val="11"/>
        <color theme="1"/>
        <rFont val="Calibri"/>
        <family val="2"/>
        <scheme val="minor"/>
      </rPr>
      <t xml:space="preserve"> Los usuarios tienen acceso oportuno.</t>
    </r>
  </si>
  <si>
    <r>
      <t>P20.4</t>
    </r>
    <r>
      <rPr>
        <sz val="11"/>
        <color theme="1"/>
        <rFont val="Calibri"/>
        <family val="2"/>
        <scheme val="minor"/>
      </rPr>
      <t xml:space="preserve"> La plataforma integra información geoespacial.</t>
    </r>
  </si>
  <si>
    <r>
      <t>P20.5</t>
    </r>
    <r>
      <rPr>
        <sz val="11"/>
        <color theme="1"/>
        <rFont val="Calibri"/>
        <family val="2"/>
        <scheme val="minor"/>
      </rPr>
      <t xml:space="preserve"> La información apoya decisiones institucionales.</t>
    </r>
  </si>
  <si>
    <t>Variable 21. Campañas de prevención</t>
  </si>
  <si>
    <r>
      <t>P21.1</t>
    </r>
    <r>
      <rPr>
        <sz val="11"/>
        <color theme="1"/>
        <rFont val="Calibri"/>
        <family val="2"/>
        <scheme val="minor"/>
      </rPr>
      <t xml:space="preserve"> Se realizan campañas anuales.</t>
    </r>
  </si>
  <si>
    <r>
      <t>P21.2</t>
    </r>
    <r>
      <rPr>
        <sz val="11"/>
        <color theme="1"/>
        <rFont val="Calibri"/>
        <family val="2"/>
        <scheme val="minor"/>
      </rPr>
      <t xml:space="preserve"> Se utilizan medios de comunicación locales.</t>
    </r>
  </si>
  <si>
    <r>
      <t>P21.3</t>
    </r>
    <r>
      <rPr>
        <sz val="11"/>
        <color theme="1"/>
        <rFont val="Calibri"/>
        <family val="2"/>
        <scheme val="minor"/>
      </rPr>
      <t xml:space="preserve"> Las campañas están dirigidas a grupos vulnerables.</t>
    </r>
  </si>
  <si>
    <r>
      <t>P21.4</t>
    </r>
    <r>
      <rPr>
        <sz val="11"/>
        <color theme="1"/>
        <rFont val="Calibri"/>
        <family val="2"/>
        <scheme val="minor"/>
      </rPr>
      <t xml:space="preserve"> Se evalúa el impacto de las campañas.</t>
    </r>
  </si>
  <si>
    <r>
      <t>P21.5</t>
    </r>
    <r>
      <rPr>
        <sz val="11"/>
        <color theme="1"/>
        <rFont val="Calibri"/>
        <family val="2"/>
        <scheme val="minor"/>
      </rPr>
      <t xml:space="preserve"> Las campañas mejoran la percepción del riesgo.</t>
    </r>
  </si>
  <si>
    <t>Variable 22. Programas escolares</t>
  </si>
  <si>
    <r>
      <t>P22.1</t>
    </r>
    <r>
      <rPr>
        <sz val="11"/>
        <color theme="1"/>
        <rFont val="Calibri"/>
        <family val="2"/>
        <scheme val="minor"/>
      </rPr>
      <t xml:space="preserve"> Existen programas educativos sobre riesgos.</t>
    </r>
  </si>
  <si>
    <r>
      <t>P22.2</t>
    </r>
    <r>
      <rPr>
        <sz val="11"/>
        <color theme="1"/>
        <rFont val="Calibri"/>
        <family val="2"/>
        <scheme val="minor"/>
      </rPr>
      <t xml:space="preserve"> Participan docentes y estudiantes.</t>
    </r>
  </si>
  <si>
    <r>
      <t>P22.3</t>
    </r>
    <r>
      <rPr>
        <sz val="11"/>
        <color theme="1"/>
        <rFont val="Calibri"/>
        <family val="2"/>
        <scheme val="minor"/>
      </rPr>
      <t xml:space="preserve"> Se desarrollan simulacros escolares.</t>
    </r>
  </si>
  <si>
    <r>
      <t>P22.4</t>
    </r>
    <r>
      <rPr>
        <sz val="11"/>
        <color theme="1"/>
        <rFont val="Calibri"/>
        <family val="2"/>
        <scheme val="minor"/>
      </rPr>
      <t xml:space="preserve"> Se dispone de materiales educativos.</t>
    </r>
  </si>
  <si>
    <r>
      <t>P22.5</t>
    </r>
    <r>
      <rPr>
        <sz val="11"/>
        <color theme="1"/>
        <rFont val="Calibri"/>
        <family val="2"/>
        <scheme val="minor"/>
      </rPr>
      <t xml:space="preserve"> Las instituciones educativas mantienen brigadas escolares.</t>
    </r>
  </si>
  <si>
    <t>IV. MITIGACIÓN DEL RIESGO</t>
  </si>
  <si>
    <r>
      <t>P23.1</t>
    </r>
    <r>
      <rPr>
        <sz val="11"/>
        <color theme="1"/>
        <rFont val="Calibri"/>
        <family val="2"/>
        <scheme val="minor"/>
      </rPr>
      <t xml:space="preserve"> El municipio ejecuta obras de mitigación.</t>
    </r>
  </si>
  <si>
    <r>
      <t>P23.2</t>
    </r>
    <r>
      <rPr>
        <sz val="11"/>
        <color theme="1"/>
        <rFont val="Calibri"/>
        <family val="2"/>
        <scheme val="minor"/>
      </rPr>
      <t xml:space="preserve"> Las obras responden a estudios técnicos.</t>
    </r>
  </si>
  <si>
    <r>
      <t>P23.3</t>
    </r>
    <r>
      <rPr>
        <sz val="11"/>
        <color theme="1"/>
        <rFont val="Calibri"/>
        <family val="2"/>
        <scheme val="minor"/>
      </rPr>
      <t xml:space="preserve"> Las obras reciben mantenimiento.</t>
    </r>
  </si>
  <si>
    <r>
      <t>P23.4</t>
    </r>
    <r>
      <rPr>
        <sz val="11"/>
        <color theme="1"/>
        <rFont val="Calibri"/>
        <family val="2"/>
        <scheme val="minor"/>
      </rPr>
      <t xml:space="preserve"> Las obras disminuyen la exposición.</t>
    </r>
  </si>
  <si>
    <r>
      <t>P23.5</t>
    </r>
    <r>
      <rPr>
        <sz val="11"/>
        <color theme="1"/>
        <rFont val="Calibri"/>
        <family val="2"/>
        <scheme val="minor"/>
      </rPr>
      <t xml:space="preserve"> Existe evaluación de efectividad.</t>
    </r>
  </si>
  <si>
    <t>Variable 23. Obras estructurales de mitigación</t>
  </si>
  <si>
    <r>
      <t>P24.1</t>
    </r>
    <r>
      <rPr>
        <sz val="11"/>
        <color theme="1"/>
        <rFont val="Calibri"/>
        <family val="2"/>
        <scheme val="minor"/>
      </rPr>
      <t xml:space="preserve"> Se han construido defensas ribereñas.</t>
    </r>
  </si>
  <si>
    <r>
      <t>P24.2</t>
    </r>
    <r>
      <rPr>
        <sz val="11"/>
        <color theme="1"/>
        <rFont val="Calibri"/>
        <family val="2"/>
        <scheme val="minor"/>
      </rPr>
      <t xml:space="preserve"> Se realiza mantenimiento periódico.</t>
    </r>
  </si>
  <si>
    <r>
      <t>P24.3</t>
    </r>
    <r>
      <rPr>
        <sz val="11"/>
        <color theme="1"/>
        <rFont val="Calibri"/>
        <family val="2"/>
        <scheme val="minor"/>
      </rPr>
      <t xml:space="preserve"> Se monitorea erosión fluvial.</t>
    </r>
  </si>
  <si>
    <r>
      <t>P24.4</t>
    </r>
    <r>
      <rPr>
        <sz val="11"/>
        <color theme="1"/>
        <rFont val="Calibri"/>
        <family val="2"/>
        <scheme val="minor"/>
      </rPr>
      <t xml:space="preserve"> Las obras cubren sectores prioritarios.</t>
    </r>
  </si>
  <si>
    <r>
      <t>P24.5</t>
    </r>
    <r>
      <rPr>
        <sz val="11"/>
        <color theme="1"/>
        <rFont val="Calibri"/>
        <family val="2"/>
        <scheme val="minor"/>
      </rPr>
      <t xml:space="preserve"> Se evalúa el desempeño hidráulico.</t>
    </r>
  </si>
  <si>
    <t>Variable 24. Protección de riberas</t>
  </si>
  <si>
    <t>Variable 25. Estabilización de taludes</t>
  </si>
  <si>
    <r>
      <t>P25.1</t>
    </r>
    <r>
      <rPr>
        <sz val="11"/>
        <color theme="1"/>
        <rFont val="Calibri"/>
        <family val="2"/>
        <scheme val="minor"/>
      </rPr>
      <t xml:space="preserve"> Se ejecutan obras de estabilización.</t>
    </r>
  </si>
  <si>
    <r>
      <t>P25.2</t>
    </r>
    <r>
      <rPr>
        <sz val="11"/>
        <color theme="1"/>
        <rFont val="Calibri"/>
        <family val="2"/>
        <scheme val="minor"/>
      </rPr>
      <t xml:space="preserve"> Existen estudios geotécnicos.</t>
    </r>
  </si>
  <si>
    <r>
      <t>P25.3</t>
    </r>
    <r>
      <rPr>
        <sz val="11"/>
        <color theme="1"/>
        <rFont val="Calibri"/>
        <family val="2"/>
        <scheme val="minor"/>
      </rPr>
      <t xml:space="preserve"> Se monitorean deslizamientos.</t>
    </r>
  </si>
  <si>
    <r>
      <t>P25.4</t>
    </r>
    <r>
      <rPr>
        <sz val="11"/>
        <color theme="1"/>
        <rFont val="Calibri"/>
        <family val="2"/>
        <scheme val="minor"/>
      </rPr>
      <t xml:space="preserve"> Se mantiene drenaje superficial.</t>
    </r>
  </si>
  <si>
    <r>
      <t>P25.5</t>
    </r>
    <r>
      <rPr>
        <sz val="11"/>
        <color theme="1"/>
        <rFont val="Calibri"/>
        <family val="2"/>
        <scheme val="minor"/>
      </rPr>
      <t xml:space="preserve"> Se reducen pérdidas asociadas.</t>
    </r>
  </si>
  <si>
    <t>Variable 26. Reforestación protectora</t>
  </si>
  <si>
    <r>
      <t>P26.1</t>
    </r>
    <r>
      <rPr>
        <sz val="11"/>
        <color theme="1"/>
        <rFont val="Calibri"/>
        <family val="2"/>
        <scheme val="minor"/>
      </rPr>
      <t xml:space="preserve"> Existen programas de reforestación.</t>
    </r>
  </si>
  <si>
    <r>
      <t>P26.2</t>
    </r>
    <r>
      <rPr>
        <sz val="11"/>
        <color theme="1"/>
        <rFont val="Calibri"/>
        <family val="2"/>
        <scheme val="minor"/>
      </rPr>
      <t xml:space="preserve"> Se utilizan especies nativas.</t>
    </r>
  </si>
  <si>
    <r>
      <t>P26.3</t>
    </r>
    <r>
      <rPr>
        <sz val="11"/>
        <color theme="1"/>
        <rFont val="Calibri"/>
        <family val="2"/>
        <scheme val="minor"/>
      </rPr>
      <t xml:space="preserve"> Se monitorea supervivencia.</t>
    </r>
  </si>
  <si>
    <r>
      <t>P26.4</t>
    </r>
    <r>
      <rPr>
        <sz val="11"/>
        <color theme="1"/>
        <rFont val="Calibri"/>
        <family val="2"/>
        <scheme val="minor"/>
      </rPr>
      <t xml:space="preserve"> Participan comunidades locales.</t>
    </r>
  </si>
  <si>
    <r>
      <t>P26.5</t>
    </r>
    <r>
      <rPr>
        <sz val="11"/>
        <color theme="1"/>
        <rFont val="Calibri"/>
        <family val="2"/>
        <scheme val="minor"/>
      </rPr>
      <t xml:space="preserve"> Se restauran ecosistemas degradados.</t>
    </r>
  </si>
  <si>
    <t>Variable 27. Adaptación al cambio climático</t>
  </si>
  <si>
    <r>
      <t>P27.1</t>
    </r>
    <r>
      <rPr>
        <sz val="11"/>
        <color theme="1"/>
        <rFont val="Calibri"/>
        <family val="2"/>
        <scheme val="minor"/>
      </rPr>
      <t xml:space="preserve"> Existen proyectos de adaptación.</t>
    </r>
  </si>
  <si>
    <r>
      <t>P27.2</t>
    </r>
    <r>
      <rPr>
        <sz val="11"/>
        <color theme="1"/>
        <rFont val="Calibri"/>
        <family val="2"/>
        <scheme val="minor"/>
      </rPr>
      <t xml:space="preserve"> Se dispone de financiamiento.</t>
    </r>
  </si>
  <si>
    <r>
      <t>P27.3</t>
    </r>
    <r>
      <rPr>
        <sz val="11"/>
        <color theme="1"/>
        <rFont val="Calibri"/>
        <family val="2"/>
        <scheme val="minor"/>
      </rPr>
      <t xml:space="preserve"> Los proyectos benefician poblaciones vulnerables.</t>
    </r>
  </si>
  <si>
    <r>
      <t>P27.4</t>
    </r>
    <r>
      <rPr>
        <sz val="11"/>
        <color theme="1"/>
        <rFont val="Calibri"/>
        <family val="2"/>
        <scheme val="minor"/>
      </rPr>
      <t xml:space="preserve"> Se evalúan resultados.</t>
    </r>
  </si>
  <si>
    <r>
      <t>P27.5</t>
    </r>
    <r>
      <rPr>
        <sz val="11"/>
        <color theme="1"/>
        <rFont val="Calibri"/>
        <family val="2"/>
        <scheme val="minor"/>
      </rPr>
      <t xml:space="preserve"> Se integran medidas en planificación territorial.</t>
    </r>
  </si>
  <si>
    <t>V. PREPARACIÓN Y FORTALECIMIENTO DE CAPACIDADES</t>
  </si>
  <si>
    <t>Variable 28. Plan de respuesta territorial</t>
  </si>
  <si>
    <r>
      <rPr>
        <b/>
        <sz val="11"/>
        <color theme="1"/>
        <rFont val="Calibri"/>
        <family val="2"/>
        <scheme val="minor"/>
      </rPr>
      <t xml:space="preserve">P28.1 </t>
    </r>
    <r>
      <rPr>
        <sz val="11"/>
        <color theme="1"/>
        <rFont val="Calibri"/>
        <family val="2"/>
        <scheme val="minor"/>
      </rPr>
      <t>Existe plan actualizado.</t>
    </r>
  </si>
  <si>
    <r>
      <rPr>
        <b/>
        <sz val="11"/>
        <color theme="1"/>
        <rFont val="Calibri"/>
        <family val="2"/>
        <scheme val="minor"/>
      </rPr>
      <t xml:space="preserve">P28.2 </t>
    </r>
    <r>
      <rPr>
        <sz val="11"/>
        <color theme="1"/>
        <rFont val="Calibri"/>
        <family val="2"/>
        <scheme val="minor"/>
      </rPr>
      <t>Fue aprobado oficialmente.</t>
    </r>
  </si>
  <si>
    <r>
      <rPr>
        <b/>
        <sz val="11"/>
        <color theme="1"/>
        <rFont val="Calibri"/>
        <family val="2"/>
        <scheme val="minor"/>
      </rPr>
      <t xml:space="preserve">P28.3 </t>
    </r>
    <r>
      <rPr>
        <sz val="11"/>
        <color theme="1"/>
        <rFont val="Calibri"/>
        <family val="2"/>
        <scheme val="minor"/>
      </rPr>
      <t>Es conocido por instituciones.</t>
    </r>
  </si>
  <si>
    <r>
      <rPr>
        <b/>
        <sz val="11"/>
        <color theme="1"/>
        <rFont val="Calibri"/>
        <family val="2"/>
        <scheme val="minor"/>
      </rPr>
      <t xml:space="preserve">P28.4 </t>
    </r>
    <r>
      <rPr>
        <sz val="11"/>
        <color theme="1"/>
        <rFont val="Calibri"/>
        <family val="2"/>
        <scheme val="minor"/>
      </rPr>
      <t>Se actualiza periódicamente.</t>
    </r>
  </si>
  <si>
    <r>
      <rPr>
        <b/>
        <sz val="11"/>
        <color theme="1"/>
        <rFont val="Calibri"/>
        <family val="2"/>
        <scheme val="minor"/>
      </rPr>
      <t xml:space="preserve">P28.5 </t>
    </r>
    <r>
      <rPr>
        <sz val="11"/>
        <color theme="1"/>
        <rFont val="Calibri"/>
        <family val="2"/>
        <scheme val="minor"/>
      </rPr>
      <t>Contiene escenarios multiamenaza.</t>
    </r>
  </si>
  <si>
    <t>Variable 29. Escenarios de impacto</t>
  </si>
  <si>
    <r>
      <rPr>
        <b/>
        <sz val="11"/>
        <color theme="1"/>
        <rFont val="Calibri"/>
        <family val="2"/>
        <scheme val="minor"/>
      </rPr>
      <t xml:space="preserve">P29.1 </t>
    </r>
    <r>
      <rPr>
        <sz val="11"/>
        <color theme="1"/>
        <rFont val="Calibri"/>
        <family val="2"/>
        <scheme val="minor"/>
      </rPr>
      <t>Se identifican escenarios probables.</t>
    </r>
  </si>
  <si>
    <r>
      <rPr>
        <b/>
        <sz val="11"/>
        <color theme="1"/>
        <rFont val="Calibri"/>
        <family val="2"/>
        <scheme val="minor"/>
      </rPr>
      <t>P29.2</t>
    </r>
    <r>
      <rPr>
        <sz val="11"/>
        <color theme="1"/>
        <rFont val="Calibri"/>
        <family val="2"/>
        <scheme val="minor"/>
      </rPr>
      <t xml:space="preserve"> Se consideran efectos en infraestructura.</t>
    </r>
  </si>
  <si>
    <r>
      <rPr>
        <b/>
        <sz val="11"/>
        <color theme="1"/>
        <rFont val="Calibri"/>
        <family val="2"/>
        <scheme val="minor"/>
      </rPr>
      <t xml:space="preserve">P29.3 </t>
    </r>
    <r>
      <rPr>
        <sz val="11"/>
        <color theme="1"/>
        <rFont val="Calibri"/>
        <family val="2"/>
        <scheme val="minor"/>
      </rPr>
      <t>Incluyen población vulnerable.</t>
    </r>
  </si>
  <si>
    <r>
      <rPr>
        <b/>
        <sz val="11"/>
        <color theme="1"/>
        <rFont val="Calibri"/>
        <family val="2"/>
        <scheme val="minor"/>
      </rPr>
      <t xml:space="preserve">P29.4 </t>
    </r>
    <r>
      <rPr>
        <sz val="11"/>
        <color theme="1"/>
        <rFont val="Calibri"/>
        <family val="2"/>
        <scheme val="minor"/>
      </rPr>
      <t>Se utilizan en simulaciones.</t>
    </r>
  </si>
  <si>
    <r>
      <rPr>
        <b/>
        <sz val="11"/>
        <color theme="1"/>
        <rFont val="Calibri"/>
        <family val="2"/>
        <scheme val="minor"/>
      </rPr>
      <t>P29.5</t>
    </r>
    <r>
      <rPr>
        <sz val="11"/>
        <color theme="1"/>
        <rFont val="Calibri"/>
        <family val="2"/>
        <scheme val="minor"/>
      </rPr>
      <t xml:space="preserve"> Son revisados periódicamente.</t>
    </r>
  </si>
  <si>
    <t>Variable 30. Simulacros</t>
  </si>
  <si>
    <r>
      <rPr>
        <b/>
        <sz val="11"/>
        <color theme="1"/>
        <rFont val="Calibri"/>
        <family val="2"/>
        <scheme val="minor"/>
      </rPr>
      <t xml:space="preserve">P30.1 </t>
    </r>
    <r>
      <rPr>
        <sz val="11"/>
        <color theme="1"/>
        <rFont val="Calibri"/>
        <family val="2"/>
        <scheme val="minor"/>
      </rPr>
      <t>Se realizan simulacros anuales.</t>
    </r>
  </si>
  <si>
    <r>
      <rPr>
        <b/>
        <sz val="11"/>
        <color theme="1"/>
        <rFont val="Calibri"/>
        <family val="2"/>
        <scheme val="minor"/>
      </rPr>
      <t>P30.2</t>
    </r>
    <r>
      <rPr>
        <sz val="11"/>
        <color theme="1"/>
        <rFont val="Calibri"/>
        <family val="2"/>
        <scheme val="minor"/>
      </rPr>
      <t xml:space="preserve"> Participan instituciones públicas.</t>
    </r>
  </si>
  <si>
    <r>
      <rPr>
        <b/>
        <sz val="11"/>
        <color theme="1"/>
        <rFont val="Calibri"/>
        <family val="2"/>
        <scheme val="minor"/>
      </rPr>
      <t>P30.3</t>
    </r>
    <r>
      <rPr>
        <sz val="11"/>
        <color theme="1"/>
        <rFont val="Calibri"/>
        <family val="2"/>
        <scheme val="minor"/>
      </rPr>
      <t xml:space="preserve"> Participa ciudadanía.</t>
    </r>
  </si>
  <si>
    <r>
      <rPr>
        <b/>
        <sz val="11"/>
        <color theme="1"/>
        <rFont val="Calibri"/>
        <family val="2"/>
        <scheme val="minor"/>
      </rPr>
      <t>P30.4</t>
    </r>
    <r>
      <rPr>
        <sz val="11"/>
        <color theme="1"/>
        <rFont val="Calibri"/>
        <family val="2"/>
        <scheme val="minor"/>
      </rPr>
      <t xml:space="preserve"> Existen informes de evaluación.</t>
    </r>
  </si>
  <si>
    <r>
      <rPr>
        <b/>
        <sz val="11"/>
        <color theme="1"/>
        <rFont val="Calibri"/>
        <family val="2"/>
        <scheme val="minor"/>
      </rPr>
      <t xml:space="preserve">P30.5 </t>
    </r>
    <r>
      <rPr>
        <sz val="11"/>
        <color theme="1"/>
        <rFont val="Calibri"/>
        <family val="2"/>
        <scheme val="minor"/>
      </rPr>
      <t>Se aplican lecciones aprendidas.</t>
    </r>
  </si>
  <si>
    <t>Variable 31. Participantes en simulacros</t>
  </si>
  <si>
    <t>Variable 32. Equipos USAR</t>
  </si>
  <si>
    <r>
      <rPr>
        <b/>
        <sz val="11"/>
        <color theme="1"/>
        <rFont val="Calibri"/>
        <family val="2"/>
        <scheme val="minor"/>
      </rPr>
      <t>P31.1</t>
    </r>
    <r>
      <rPr>
        <sz val="11"/>
        <color theme="1"/>
        <rFont val="Calibri"/>
        <family val="2"/>
        <scheme val="minor"/>
      </rPr>
      <t xml:space="preserve"> Participan líderes comunitarios.</t>
    </r>
  </si>
  <si>
    <r>
      <rPr>
        <b/>
        <sz val="11"/>
        <color theme="1"/>
        <rFont val="Calibri"/>
        <family val="2"/>
        <scheme val="minor"/>
      </rPr>
      <t>P31.2</t>
    </r>
    <r>
      <rPr>
        <sz val="11"/>
        <color theme="1"/>
        <rFont val="Calibri"/>
        <family val="2"/>
        <scheme val="minor"/>
      </rPr>
      <t xml:space="preserve"> Participan centros educativos.</t>
    </r>
  </si>
  <si>
    <r>
      <rPr>
        <b/>
        <sz val="11"/>
        <color theme="1"/>
        <rFont val="Calibri"/>
        <family val="2"/>
        <scheme val="minor"/>
      </rPr>
      <t>P31.3</t>
    </r>
    <r>
      <rPr>
        <sz val="11"/>
        <color theme="1"/>
        <rFont val="Calibri"/>
        <family val="2"/>
        <scheme val="minor"/>
      </rPr>
      <t xml:space="preserve"> Participan empresas.</t>
    </r>
  </si>
  <si>
    <r>
      <rPr>
        <b/>
        <sz val="11"/>
        <color theme="1"/>
        <rFont val="Calibri"/>
        <family val="2"/>
        <scheme val="minor"/>
      </rPr>
      <t>P31.4</t>
    </r>
    <r>
      <rPr>
        <sz val="11"/>
        <color theme="1"/>
        <rFont val="Calibri"/>
        <family val="2"/>
        <scheme val="minor"/>
      </rPr>
      <t xml:space="preserve"> Participan organizaciones sociales.</t>
    </r>
  </si>
  <si>
    <r>
      <rPr>
        <b/>
        <sz val="11"/>
        <color theme="1"/>
        <rFont val="Calibri"/>
        <family val="2"/>
        <scheme val="minor"/>
      </rPr>
      <t>P31.5</t>
    </r>
    <r>
      <rPr>
        <sz val="11"/>
        <color theme="1"/>
        <rFont val="Calibri"/>
        <family val="2"/>
        <scheme val="minor"/>
      </rPr>
      <t xml:space="preserve"> La participación aumenta cada año.</t>
    </r>
  </si>
  <si>
    <r>
      <rPr>
        <b/>
        <sz val="11"/>
        <color theme="1"/>
        <rFont val="Calibri"/>
        <family val="2"/>
        <scheme val="minor"/>
      </rPr>
      <t xml:space="preserve">P32.1 </t>
    </r>
    <r>
      <rPr>
        <sz val="11"/>
        <color theme="1"/>
        <rFont val="Calibri"/>
        <family val="2"/>
        <scheme val="minor"/>
      </rPr>
      <t>Existe equipo de rescate.</t>
    </r>
  </si>
  <si>
    <r>
      <rPr>
        <b/>
        <sz val="11"/>
        <color theme="1"/>
        <rFont val="Calibri"/>
        <family val="2"/>
        <scheme val="minor"/>
      </rPr>
      <t>P32.2</t>
    </r>
    <r>
      <rPr>
        <sz val="11"/>
        <color theme="1"/>
        <rFont val="Calibri"/>
        <family val="2"/>
        <scheme val="minor"/>
      </rPr>
      <t xml:space="preserve"> Personal certificado.</t>
    </r>
  </si>
  <si>
    <r>
      <rPr>
        <b/>
        <sz val="11"/>
        <color theme="1"/>
        <rFont val="Calibri"/>
        <family val="2"/>
        <scheme val="minor"/>
      </rPr>
      <t>P32.3</t>
    </r>
    <r>
      <rPr>
        <sz val="11"/>
        <color theme="1"/>
        <rFont val="Calibri"/>
        <family val="2"/>
        <scheme val="minor"/>
      </rPr>
      <t xml:space="preserve"> Capacitación periódica.</t>
    </r>
  </si>
  <si>
    <r>
      <rPr>
        <b/>
        <sz val="11"/>
        <color theme="1"/>
        <rFont val="Calibri"/>
        <family val="2"/>
        <scheme val="minor"/>
      </rPr>
      <t>P32.4</t>
    </r>
    <r>
      <rPr>
        <sz val="11"/>
        <color theme="1"/>
        <rFont val="Calibri"/>
        <family val="2"/>
        <scheme val="minor"/>
      </rPr>
      <t xml:space="preserve"> Equipamiento suficiente.</t>
    </r>
  </si>
  <si>
    <r>
      <rPr>
        <b/>
        <sz val="11"/>
        <color theme="1"/>
        <rFont val="Calibri"/>
        <family val="2"/>
        <scheme val="minor"/>
      </rPr>
      <t>P32.5</t>
    </r>
    <r>
      <rPr>
        <sz val="11"/>
        <color theme="1"/>
        <rFont val="Calibri"/>
        <family val="2"/>
        <scheme val="minor"/>
      </rPr>
      <t xml:space="preserve"> Protocolos operativos vigentes.</t>
    </r>
  </si>
  <si>
    <t>Variable 33. Inventario de recursos</t>
  </si>
  <si>
    <r>
      <rPr>
        <b/>
        <sz val="11"/>
        <color theme="1"/>
        <rFont val="Calibri"/>
        <family val="2"/>
        <scheme val="minor"/>
      </rPr>
      <t xml:space="preserve">P33.1 </t>
    </r>
    <r>
      <rPr>
        <sz val="11"/>
        <color theme="1"/>
        <rFont val="Calibri"/>
        <family val="2"/>
        <scheme val="minor"/>
      </rPr>
      <t>Inventario actualizado.</t>
    </r>
  </si>
  <si>
    <r>
      <rPr>
        <b/>
        <sz val="11"/>
        <color theme="1"/>
        <rFont val="Calibri"/>
        <family val="2"/>
        <scheme val="minor"/>
      </rPr>
      <t xml:space="preserve">P33.2 </t>
    </r>
    <r>
      <rPr>
        <sz val="11"/>
        <color theme="1"/>
        <rFont val="Calibri"/>
        <family val="2"/>
        <scheme val="minor"/>
      </rPr>
      <t>Recursos georreferenciados.</t>
    </r>
  </si>
  <si>
    <r>
      <rPr>
        <b/>
        <sz val="11"/>
        <color theme="1"/>
        <rFont val="Calibri"/>
        <family val="2"/>
        <scheme val="minor"/>
      </rPr>
      <t xml:space="preserve">P33.3 </t>
    </r>
    <r>
      <rPr>
        <sz val="11"/>
        <color theme="1"/>
        <rFont val="Calibri"/>
        <family val="2"/>
        <scheme val="minor"/>
      </rPr>
      <t>Inventario digitalizado.</t>
    </r>
  </si>
  <si>
    <r>
      <rPr>
        <b/>
        <sz val="11"/>
        <color theme="1"/>
        <rFont val="Calibri"/>
        <family val="2"/>
        <scheme val="minor"/>
      </rPr>
      <t xml:space="preserve">P33.4 </t>
    </r>
    <r>
      <rPr>
        <sz val="11"/>
        <color theme="1"/>
        <rFont val="Calibri"/>
        <family val="2"/>
        <scheme val="minor"/>
      </rPr>
      <t>Información accesible.</t>
    </r>
  </si>
  <si>
    <r>
      <rPr>
        <b/>
        <sz val="11"/>
        <color theme="1"/>
        <rFont val="Calibri"/>
        <family val="2"/>
        <scheme val="minor"/>
      </rPr>
      <t xml:space="preserve">P33.5 </t>
    </r>
    <r>
      <rPr>
        <sz val="11"/>
        <color theme="1"/>
        <rFont val="Calibri"/>
        <family val="2"/>
        <scheme val="minor"/>
      </rPr>
      <t>Inventario revisado anualmente.</t>
    </r>
  </si>
  <si>
    <t>Variable 34. Inventario de maquinaria</t>
  </si>
  <si>
    <r>
      <rPr>
        <b/>
        <sz val="11"/>
        <color theme="1"/>
        <rFont val="Calibri"/>
        <family val="2"/>
        <scheme val="minor"/>
      </rPr>
      <t xml:space="preserve">P34.1 </t>
    </r>
    <r>
      <rPr>
        <sz val="11"/>
        <color theme="1"/>
        <rFont val="Calibri"/>
        <family val="2"/>
        <scheme val="minor"/>
      </rPr>
      <t>Se conoce maquinaria disponible.</t>
    </r>
  </si>
  <si>
    <r>
      <rPr>
        <b/>
        <sz val="11"/>
        <color theme="1"/>
        <rFont val="Calibri"/>
        <family val="2"/>
        <scheme val="minor"/>
      </rPr>
      <t xml:space="preserve">P34.2 </t>
    </r>
    <r>
      <rPr>
        <sz val="11"/>
        <color theme="1"/>
        <rFont val="Calibri"/>
        <family val="2"/>
        <scheme val="minor"/>
      </rPr>
      <t>Está operativa.</t>
    </r>
  </si>
  <si>
    <r>
      <rPr>
        <b/>
        <sz val="11"/>
        <color theme="1"/>
        <rFont val="Calibri"/>
        <family val="2"/>
        <scheme val="minor"/>
      </rPr>
      <t xml:space="preserve">P34.3 </t>
    </r>
    <r>
      <rPr>
        <sz val="11"/>
        <color theme="1"/>
        <rFont val="Calibri"/>
        <family val="2"/>
        <scheme val="minor"/>
      </rPr>
      <t>Existen convenios de apoyo.</t>
    </r>
  </si>
  <si>
    <r>
      <rPr>
        <b/>
        <sz val="11"/>
        <color theme="1"/>
        <rFont val="Calibri"/>
        <family val="2"/>
        <scheme val="minor"/>
      </rPr>
      <t xml:space="preserve">P34.4 </t>
    </r>
    <r>
      <rPr>
        <sz val="11"/>
        <color theme="1"/>
        <rFont val="Calibri"/>
        <family val="2"/>
        <scheme val="minor"/>
      </rPr>
      <t>Se mantiene adecuadamente.</t>
    </r>
  </si>
  <si>
    <r>
      <rPr>
        <b/>
        <sz val="11"/>
        <color theme="1"/>
        <rFont val="Calibri"/>
        <family val="2"/>
        <scheme val="minor"/>
      </rPr>
      <t xml:space="preserve">P34.5 </t>
    </r>
    <r>
      <rPr>
        <sz val="11"/>
        <color theme="1"/>
        <rFont val="Calibri"/>
        <family val="2"/>
        <scheme val="minor"/>
      </rPr>
      <t>Es suficiente para emergencias.</t>
    </r>
  </si>
  <si>
    <t>Variable 35. Asistencia humanitaria</t>
  </si>
  <si>
    <r>
      <rPr>
        <b/>
        <sz val="11"/>
        <color theme="1"/>
        <rFont val="Calibri"/>
        <family val="2"/>
        <scheme val="minor"/>
      </rPr>
      <t xml:space="preserve">P35.1 </t>
    </r>
    <r>
      <rPr>
        <sz val="11"/>
        <color theme="1"/>
        <rFont val="Calibri"/>
        <family val="2"/>
        <scheme val="minor"/>
      </rPr>
      <t>Existen reservas estratégicas.</t>
    </r>
  </si>
  <si>
    <r>
      <rPr>
        <b/>
        <sz val="11"/>
        <color theme="1"/>
        <rFont val="Calibri"/>
        <family val="2"/>
        <scheme val="minor"/>
      </rPr>
      <t xml:space="preserve">P35.2 </t>
    </r>
    <r>
      <rPr>
        <sz val="11"/>
        <color theme="1"/>
        <rFont val="Calibri"/>
        <family val="2"/>
        <scheme val="minor"/>
      </rPr>
      <t>Alimentos suficientes.</t>
    </r>
  </si>
  <si>
    <r>
      <rPr>
        <b/>
        <sz val="11"/>
        <color theme="1"/>
        <rFont val="Calibri"/>
        <family val="2"/>
        <scheme val="minor"/>
      </rPr>
      <t xml:space="preserve">P35.3 </t>
    </r>
    <r>
      <rPr>
        <sz val="11"/>
        <color theme="1"/>
        <rFont val="Calibri"/>
        <family val="2"/>
        <scheme val="minor"/>
      </rPr>
      <t>Kits de higiene suficientes.</t>
    </r>
  </si>
  <si>
    <r>
      <rPr>
        <b/>
        <sz val="11"/>
        <color theme="1"/>
        <rFont val="Calibri"/>
        <family val="2"/>
        <scheme val="minor"/>
      </rPr>
      <t xml:space="preserve">P35.4 </t>
    </r>
    <r>
      <rPr>
        <sz val="11"/>
        <color theme="1"/>
        <rFont val="Calibri"/>
        <family val="2"/>
        <scheme val="minor"/>
      </rPr>
      <t>Mecanismos de distribución.</t>
    </r>
  </si>
  <si>
    <r>
      <rPr>
        <b/>
        <sz val="11"/>
        <color theme="1"/>
        <rFont val="Calibri"/>
        <family val="2"/>
        <scheme val="minor"/>
      </rPr>
      <t xml:space="preserve">P35.5 </t>
    </r>
    <r>
      <rPr>
        <sz val="11"/>
        <color theme="1"/>
        <rFont val="Calibri"/>
        <family val="2"/>
        <scheme val="minor"/>
      </rPr>
      <t>Inventario actualizado.</t>
    </r>
  </si>
  <si>
    <t>Variables 36. Alojamientos temporales</t>
  </si>
  <si>
    <r>
      <rPr>
        <b/>
        <sz val="11"/>
        <color theme="1"/>
        <rFont val="Calibri"/>
        <family val="2"/>
        <scheme val="minor"/>
      </rPr>
      <t xml:space="preserve">P36.1 </t>
    </r>
    <r>
      <rPr>
        <sz val="11"/>
        <color theme="1"/>
        <rFont val="Calibri"/>
        <family val="2"/>
        <scheme val="minor"/>
      </rPr>
      <t>Están identificados.</t>
    </r>
  </si>
  <si>
    <r>
      <rPr>
        <b/>
        <sz val="11"/>
        <color theme="1"/>
        <rFont val="Calibri"/>
        <family val="2"/>
        <scheme val="minor"/>
      </rPr>
      <t xml:space="preserve">P36.2 </t>
    </r>
    <r>
      <rPr>
        <sz val="11"/>
        <color theme="1"/>
        <rFont val="Calibri"/>
        <family val="2"/>
        <scheme val="minor"/>
      </rPr>
      <t>Cumplen estándares mínimos.</t>
    </r>
  </si>
  <si>
    <r>
      <rPr>
        <b/>
        <sz val="11"/>
        <color theme="1"/>
        <rFont val="Calibri"/>
        <family val="2"/>
        <scheme val="minor"/>
      </rPr>
      <t xml:space="preserve">P36.3 </t>
    </r>
    <r>
      <rPr>
        <sz val="11"/>
        <color theme="1"/>
        <rFont val="Calibri"/>
        <family val="2"/>
        <scheme val="minor"/>
      </rPr>
      <t>Son accesibles.</t>
    </r>
  </si>
  <si>
    <r>
      <rPr>
        <b/>
        <sz val="11"/>
        <color theme="1"/>
        <rFont val="Calibri"/>
        <family val="2"/>
        <scheme val="minor"/>
      </rPr>
      <t xml:space="preserve">P36.4 </t>
    </r>
    <r>
      <rPr>
        <sz val="11"/>
        <color theme="1"/>
        <rFont val="Calibri"/>
        <family val="2"/>
        <scheme val="minor"/>
      </rPr>
      <t>Poseen servicios básicos.</t>
    </r>
  </si>
  <si>
    <r>
      <rPr>
        <b/>
        <sz val="11"/>
        <color theme="1"/>
        <rFont val="Calibri"/>
        <family val="2"/>
        <scheme val="minor"/>
      </rPr>
      <t xml:space="preserve">P36.5 </t>
    </r>
    <r>
      <rPr>
        <sz val="11"/>
        <color theme="1"/>
        <rFont val="Calibri"/>
        <family val="2"/>
        <scheme val="minor"/>
      </rPr>
      <t>Son inspeccionados regularmente.</t>
    </r>
  </si>
  <si>
    <t>Variable 37. Capacidad de alojamiento</t>
  </si>
  <si>
    <r>
      <rPr>
        <b/>
        <sz val="11"/>
        <color theme="1"/>
        <rFont val="Calibri"/>
        <family val="2"/>
        <scheme val="minor"/>
      </rPr>
      <t xml:space="preserve">P37.1 </t>
    </r>
    <r>
      <rPr>
        <sz val="11"/>
        <color theme="1"/>
        <rFont val="Calibri"/>
        <family val="2"/>
        <scheme val="minor"/>
      </rPr>
      <t>Capacidad suficiente.</t>
    </r>
  </si>
  <si>
    <r>
      <rPr>
        <b/>
        <sz val="11"/>
        <color theme="1"/>
        <rFont val="Calibri"/>
        <family val="2"/>
        <scheme val="minor"/>
      </rPr>
      <t xml:space="preserve">P37.2 </t>
    </r>
    <r>
      <rPr>
        <sz val="11"/>
        <color theme="1"/>
        <rFont val="Calibri"/>
        <family val="2"/>
        <scheme val="minor"/>
      </rPr>
      <t>Existe mobiliario disponible.</t>
    </r>
  </si>
  <si>
    <r>
      <rPr>
        <b/>
        <sz val="11"/>
        <color theme="1"/>
        <rFont val="Calibri"/>
        <family val="2"/>
        <scheme val="minor"/>
      </rPr>
      <t xml:space="preserve">P37.3 </t>
    </r>
    <r>
      <rPr>
        <sz val="11"/>
        <color theme="1"/>
        <rFont val="Calibri"/>
        <family val="2"/>
        <scheme val="minor"/>
      </rPr>
      <t>Hay protocolos de administración.</t>
    </r>
  </si>
  <si>
    <r>
      <rPr>
        <b/>
        <sz val="11"/>
        <color theme="1"/>
        <rFont val="Calibri"/>
        <family val="2"/>
        <scheme val="minor"/>
      </rPr>
      <t xml:space="preserve">P37.4 </t>
    </r>
    <r>
      <rPr>
        <sz val="11"/>
        <color theme="1"/>
        <rFont val="Calibri"/>
        <family val="2"/>
        <scheme val="minor"/>
      </rPr>
      <t>Consideran personas vulnerables.</t>
    </r>
  </si>
  <si>
    <r>
      <rPr>
        <b/>
        <sz val="11"/>
        <color theme="1"/>
        <rFont val="Calibri"/>
        <family val="2"/>
        <scheme val="minor"/>
      </rPr>
      <t xml:space="preserve">P37.5 </t>
    </r>
    <r>
      <rPr>
        <sz val="11"/>
        <color theme="1"/>
        <rFont val="Calibri"/>
        <family val="2"/>
        <scheme val="minor"/>
      </rPr>
      <t>Son funcionales durante emergencias.</t>
    </r>
  </si>
  <si>
    <t>VI. RESPUESTA ANTE EMERGENCIAS</t>
  </si>
  <si>
    <t>Variable 38. Activación del COE</t>
  </si>
  <si>
    <r>
      <rPr>
        <b/>
        <sz val="11"/>
        <color theme="1"/>
        <rFont val="Calibri"/>
        <family val="2"/>
        <scheme val="minor"/>
      </rPr>
      <t xml:space="preserve">P38.1 </t>
    </r>
    <r>
      <rPr>
        <sz val="11"/>
        <color theme="1"/>
        <rFont val="Calibri"/>
        <family val="2"/>
        <scheme val="minor"/>
      </rPr>
      <t>Activación rápida.</t>
    </r>
  </si>
  <si>
    <r>
      <rPr>
        <b/>
        <sz val="11"/>
        <color theme="1"/>
        <rFont val="Calibri"/>
        <family val="2"/>
        <scheme val="minor"/>
      </rPr>
      <t xml:space="preserve">P38.2 </t>
    </r>
    <r>
      <rPr>
        <sz val="11"/>
        <color theme="1"/>
        <rFont val="Calibri"/>
        <family val="2"/>
        <scheme val="minor"/>
      </rPr>
      <t>Protocolos conocidos.</t>
    </r>
  </si>
  <si>
    <r>
      <rPr>
        <b/>
        <sz val="11"/>
        <color theme="1"/>
        <rFont val="Calibri"/>
        <family val="2"/>
        <scheme val="minor"/>
      </rPr>
      <t xml:space="preserve">P38.3 </t>
    </r>
    <r>
      <rPr>
        <sz val="11"/>
        <color theme="1"/>
        <rFont val="Calibri"/>
        <family val="2"/>
        <scheme val="minor"/>
      </rPr>
      <t>Convocatoria eficiente.</t>
    </r>
  </si>
  <si>
    <r>
      <rPr>
        <b/>
        <sz val="11"/>
        <color theme="1"/>
        <rFont val="Calibri"/>
        <family val="2"/>
        <scheme val="minor"/>
      </rPr>
      <t xml:space="preserve">P38.4 </t>
    </r>
    <r>
      <rPr>
        <sz val="11"/>
        <color theme="1"/>
        <rFont val="Calibri"/>
        <family val="2"/>
        <scheme val="minor"/>
      </rPr>
      <t>Comunicación efectiva.</t>
    </r>
  </si>
  <si>
    <r>
      <rPr>
        <b/>
        <sz val="11"/>
        <color theme="1"/>
        <rFont val="Calibri"/>
        <family val="2"/>
        <scheme val="minor"/>
      </rPr>
      <t xml:space="preserve">P38.5 </t>
    </r>
    <r>
      <rPr>
        <sz val="11"/>
        <color theme="1"/>
        <rFont val="Calibri"/>
        <family val="2"/>
        <scheme val="minor"/>
      </rPr>
      <t>Evaluación posterior.</t>
    </r>
  </si>
  <si>
    <t>Variable 39. Movilización de recursos</t>
  </si>
  <si>
    <r>
      <rPr>
        <b/>
        <sz val="11"/>
        <color theme="1"/>
        <rFont val="Calibri"/>
        <family val="2"/>
        <scheme val="minor"/>
      </rPr>
      <t xml:space="preserve">P39.1 </t>
    </r>
    <r>
      <rPr>
        <sz val="11"/>
        <color theme="1"/>
        <rFont val="Calibri"/>
        <family val="2"/>
        <scheme val="minor"/>
      </rPr>
      <t>Recursos movilizados oportunamente.</t>
    </r>
  </si>
  <si>
    <r>
      <rPr>
        <b/>
        <sz val="11"/>
        <color theme="1"/>
        <rFont val="Calibri"/>
        <family val="2"/>
        <scheme val="minor"/>
      </rPr>
      <t xml:space="preserve">P39.2 </t>
    </r>
    <r>
      <rPr>
        <sz val="11"/>
        <color theme="1"/>
        <rFont val="Calibri"/>
        <family val="2"/>
        <scheme val="minor"/>
      </rPr>
      <t>Personal disponible.</t>
    </r>
  </si>
  <si>
    <r>
      <rPr>
        <b/>
        <sz val="11"/>
        <color theme="1"/>
        <rFont val="Calibri"/>
        <family val="2"/>
        <scheme val="minor"/>
      </rPr>
      <t xml:space="preserve">P39.3 </t>
    </r>
    <r>
      <rPr>
        <sz val="11"/>
        <color theme="1"/>
        <rFont val="Calibri"/>
        <family val="2"/>
        <scheme val="minor"/>
      </rPr>
      <t>Transporte suficiente.</t>
    </r>
  </si>
  <si>
    <r>
      <rPr>
        <b/>
        <sz val="11"/>
        <color theme="1"/>
        <rFont val="Calibri"/>
        <family val="2"/>
        <scheme val="minor"/>
      </rPr>
      <t xml:space="preserve">P39.4 </t>
    </r>
    <r>
      <rPr>
        <sz val="11"/>
        <color theme="1"/>
        <rFont val="Calibri"/>
        <family val="2"/>
        <scheme val="minor"/>
      </rPr>
      <t>Coordinación interinstitucional.</t>
    </r>
  </si>
  <si>
    <r>
      <rPr>
        <b/>
        <sz val="11"/>
        <color theme="1"/>
        <rFont val="Calibri"/>
        <family val="2"/>
        <scheme val="minor"/>
      </rPr>
      <t xml:space="preserve">P39.5 </t>
    </r>
    <r>
      <rPr>
        <sz val="11"/>
        <color theme="1"/>
        <rFont val="Calibri"/>
        <family val="2"/>
        <scheme val="minor"/>
      </rPr>
      <t>Cobertura adecuada.</t>
    </r>
  </si>
  <si>
    <t>Variable 40. Entrega de ayuda humanitaria</t>
  </si>
  <si>
    <r>
      <rPr>
        <b/>
        <sz val="11"/>
        <color theme="1"/>
        <rFont val="Calibri"/>
        <family val="2"/>
        <scheme val="minor"/>
      </rPr>
      <t xml:space="preserve">P40.1 </t>
    </r>
    <r>
      <rPr>
        <sz val="11"/>
        <color theme="1"/>
        <rFont val="Calibri"/>
        <family val="2"/>
        <scheme val="minor"/>
      </rPr>
      <t>Entrega rápida.</t>
    </r>
  </si>
  <si>
    <r>
      <rPr>
        <b/>
        <sz val="11"/>
        <color theme="1"/>
        <rFont val="Calibri"/>
        <family val="2"/>
        <scheme val="minor"/>
      </rPr>
      <t xml:space="preserve">P40.2 </t>
    </r>
    <r>
      <rPr>
        <sz val="11"/>
        <color theme="1"/>
        <rFont val="Calibri"/>
        <family val="2"/>
        <scheme val="minor"/>
      </rPr>
      <t>Cobertura suficiente.</t>
    </r>
  </si>
  <si>
    <r>
      <rPr>
        <b/>
        <sz val="11"/>
        <color theme="1"/>
        <rFont val="Calibri"/>
        <family val="2"/>
        <scheme val="minor"/>
      </rPr>
      <t xml:space="preserve">P40.3 </t>
    </r>
    <r>
      <rPr>
        <sz val="11"/>
        <color theme="1"/>
        <rFont val="Calibri"/>
        <family val="2"/>
        <scheme val="minor"/>
      </rPr>
      <t>Priorización adecuada.</t>
    </r>
  </si>
  <si>
    <r>
      <rPr>
        <b/>
        <sz val="11"/>
        <color theme="1"/>
        <rFont val="Calibri"/>
        <family val="2"/>
        <scheme val="minor"/>
      </rPr>
      <t xml:space="preserve">P40.4 </t>
    </r>
    <r>
      <rPr>
        <sz val="11"/>
        <color theme="1"/>
        <rFont val="Calibri"/>
        <family val="2"/>
        <scheme val="minor"/>
      </rPr>
      <t>Registro de beneficiarios.</t>
    </r>
  </si>
  <si>
    <r>
      <rPr>
        <b/>
        <sz val="11"/>
        <color theme="1"/>
        <rFont val="Calibri"/>
        <family val="2"/>
        <scheme val="minor"/>
      </rPr>
      <t>P40.5</t>
    </r>
    <r>
      <rPr>
        <sz val="11"/>
        <color theme="1"/>
        <rFont val="Calibri"/>
        <family val="2"/>
        <scheme val="minor"/>
      </rPr>
      <t xml:space="preserve"> Seguimiento posterior.</t>
    </r>
  </si>
  <si>
    <t>Variable 41. Protocolos de respuesta</t>
  </si>
  <si>
    <r>
      <rPr>
        <b/>
        <sz val="11"/>
        <color theme="1"/>
        <rFont val="Calibri"/>
        <family val="2"/>
        <scheme val="minor"/>
      </rPr>
      <t xml:space="preserve">P41.1 </t>
    </r>
    <r>
      <rPr>
        <sz val="11"/>
        <color theme="1"/>
        <rFont val="Calibri"/>
        <family val="2"/>
        <scheme val="minor"/>
      </rPr>
      <t>Protocolos aprobados.</t>
    </r>
  </si>
  <si>
    <r>
      <rPr>
        <b/>
        <sz val="11"/>
        <color theme="1"/>
        <rFont val="Calibri"/>
        <family val="2"/>
        <scheme val="minor"/>
      </rPr>
      <t xml:space="preserve">P41.2 </t>
    </r>
    <r>
      <rPr>
        <sz val="11"/>
        <color theme="1"/>
        <rFont val="Calibri"/>
        <family val="2"/>
        <scheme val="minor"/>
      </rPr>
      <t>Personal capacitado.</t>
    </r>
  </si>
  <si>
    <r>
      <rPr>
        <b/>
        <sz val="11"/>
        <color theme="1"/>
        <rFont val="Calibri"/>
        <family val="2"/>
        <scheme val="minor"/>
      </rPr>
      <t xml:space="preserve">P41.3 </t>
    </r>
    <r>
      <rPr>
        <sz val="11"/>
        <color theme="1"/>
        <rFont val="Calibri"/>
        <family val="2"/>
        <scheme val="minor"/>
      </rPr>
      <t>Simulados previamente.</t>
    </r>
  </si>
  <si>
    <r>
      <rPr>
        <b/>
        <sz val="11"/>
        <color theme="1"/>
        <rFont val="Calibri"/>
        <family val="2"/>
        <scheme val="minor"/>
      </rPr>
      <t xml:space="preserve">P41.4 </t>
    </r>
    <r>
      <rPr>
        <sz val="11"/>
        <color theme="1"/>
        <rFont val="Calibri"/>
        <family val="2"/>
        <scheme val="minor"/>
      </rPr>
      <t>Actualizados.</t>
    </r>
  </si>
  <si>
    <r>
      <rPr>
        <b/>
        <sz val="11"/>
        <color theme="1"/>
        <rFont val="Calibri"/>
        <family val="2"/>
        <scheme val="minor"/>
      </rPr>
      <t xml:space="preserve">P41.5 </t>
    </r>
    <r>
      <rPr>
        <sz val="11"/>
        <color theme="1"/>
        <rFont val="Calibri"/>
        <family val="2"/>
        <scheme val="minor"/>
      </rPr>
      <t>Compatibles con lineamientos nacionales.</t>
    </r>
  </si>
  <si>
    <t>Variable 42. Evaluaciones postevento</t>
  </si>
  <si>
    <r>
      <rPr>
        <b/>
        <sz val="11"/>
        <color theme="1"/>
        <rFont val="Calibri"/>
        <family val="2"/>
        <scheme val="minor"/>
      </rPr>
      <t xml:space="preserve">P42.1 </t>
    </r>
    <r>
      <rPr>
        <sz val="11"/>
        <color theme="1"/>
        <rFont val="Calibri"/>
        <family val="2"/>
        <scheme val="minor"/>
      </rPr>
      <t>Se realizan Evaluaciones Post Desastres.</t>
    </r>
  </si>
  <si>
    <r>
      <rPr>
        <b/>
        <sz val="11"/>
        <color theme="1"/>
        <rFont val="Calibri"/>
        <family val="2"/>
        <scheme val="minor"/>
      </rPr>
      <t xml:space="preserve">P42.2 </t>
    </r>
    <r>
      <rPr>
        <sz val="11"/>
        <color theme="1"/>
        <rFont val="Calibri"/>
        <family val="2"/>
        <scheme val="minor"/>
      </rPr>
      <t>Existen informes técnicos.</t>
    </r>
  </si>
  <si>
    <r>
      <rPr>
        <b/>
        <sz val="11"/>
        <color theme="1"/>
        <rFont val="Calibri"/>
        <family val="2"/>
        <scheme val="minor"/>
      </rPr>
      <t xml:space="preserve">P42.3 </t>
    </r>
    <r>
      <rPr>
        <sz val="11"/>
        <color theme="1"/>
        <rFont val="Calibri"/>
        <family val="2"/>
        <scheme val="minor"/>
      </rPr>
      <t>Participan expertos.</t>
    </r>
  </si>
  <si>
    <r>
      <rPr>
        <b/>
        <sz val="11"/>
        <color theme="1"/>
        <rFont val="Calibri"/>
        <family val="2"/>
        <scheme val="minor"/>
      </rPr>
      <t xml:space="preserve">P42.4 </t>
    </r>
    <r>
      <rPr>
        <sz val="11"/>
        <color theme="1"/>
        <rFont val="Calibri"/>
        <family val="2"/>
        <scheme val="minor"/>
      </rPr>
      <t>Resultados difundidos.</t>
    </r>
  </si>
  <si>
    <r>
      <rPr>
        <b/>
        <sz val="11"/>
        <color theme="1"/>
        <rFont val="Calibri"/>
        <family val="2"/>
        <scheme val="minor"/>
      </rPr>
      <t xml:space="preserve">P42.5 </t>
    </r>
    <r>
      <rPr>
        <sz val="11"/>
        <color theme="1"/>
        <rFont val="Calibri"/>
        <family val="2"/>
        <scheme val="minor"/>
      </rPr>
      <t>Sirven para mejorar capacidades.</t>
    </r>
  </si>
  <si>
    <t>Varible 43. Recursos económicos para respuesta</t>
  </si>
  <si>
    <r>
      <rPr>
        <b/>
        <sz val="11"/>
        <color theme="1"/>
        <rFont val="Calibri"/>
        <family val="2"/>
        <scheme val="minor"/>
      </rPr>
      <t xml:space="preserve">P43.1 </t>
    </r>
    <r>
      <rPr>
        <sz val="11"/>
        <color theme="1"/>
        <rFont val="Calibri"/>
        <family val="2"/>
        <scheme val="minor"/>
      </rPr>
      <t>Recursos disponibles.</t>
    </r>
  </si>
  <si>
    <r>
      <rPr>
        <b/>
        <sz val="11"/>
        <color theme="1"/>
        <rFont val="Calibri"/>
        <family val="2"/>
        <scheme val="minor"/>
      </rPr>
      <t xml:space="preserve">P43.2 </t>
    </r>
    <r>
      <rPr>
        <sz val="11"/>
        <color theme="1"/>
        <rFont val="Calibri"/>
        <family val="2"/>
        <scheme val="minor"/>
      </rPr>
      <t>Procesos ágiles.</t>
    </r>
  </si>
  <si>
    <r>
      <rPr>
        <b/>
        <sz val="11"/>
        <color theme="1"/>
        <rFont val="Calibri"/>
        <family val="2"/>
        <scheme val="minor"/>
      </rPr>
      <t xml:space="preserve">P43.3 </t>
    </r>
    <r>
      <rPr>
        <sz val="11"/>
        <color theme="1"/>
        <rFont val="Calibri"/>
        <family val="2"/>
        <scheme val="minor"/>
      </rPr>
      <t>Transparencia financiera.</t>
    </r>
  </si>
  <si>
    <r>
      <rPr>
        <b/>
        <sz val="11"/>
        <color theme="1"/>
        <rFont val="Calibri"/>
        <family val="2"/>
        <scheme val="minor"/>
      </rPr>
      <t xml:space="preserve">P43.4 </t>
    </r>
    <r>
      <rPr>
        <sz val="11"/>
        <color theme="1"/>
        <rFont val="Calibri"/>
        <family val="2"/>
        <scheme val="minor"/>
      </rPr>
      <t>Cobertura suficiente.</t>
    </r>
  </si>
  <si>
    <r>
      <rPr>
        <b/>
        <sz val="11"/>
        <color theme="1"/>
        <rFont val="Calibri"/>
        <family val="2"/>
        <scheme val="minor"/>
      </rPr>
      <t xml:space="preserve">P43.5 </t>
    </r>
    <r>
      <rPr>
        <sz val="11"/>
        <color theme="1"/>
        <rFont val="Calibri"/>
        <family val="2"/>
        <scheme val="minor"/>
      </rPr>
      <t>Auditoría posterior.</t>
    </r>
  </si>
  <si>
    <t>VII. RECUPERACIÓN Y RECONSTRUCCIÓN</t>
  </si>
  <si>
    <t>Variable 44. Evaluación de daños</t>
  </si>
  <si>
    <r>
      <rPr>
        <b/>
        <sz val="11"/>
        <color theme="1"/>
        <rFont val="Calibri"/>
        <family val="2"/>
        <scheme val="minor"/>
      </rPr>
      <t xml:space="preserve">P44.1 </t>
    </r>
    <r>
      <rPr>
        <sz val="11"/>
        <color theme="1"/>
        <rFont val="Calibri"/>
        <family val="2"/>
        <scheme val="minor"/>
      </rPr>
      <t>Metodologías oficiales.</t>
    </r>
  </si>
  <si>
    <r>
      <rPr>
        <b/>
        <sz val="11"/>
        <color theme="1"/>
        <rFont val="Calibri"/>
        <family val="2"/>
        <scheme val="minor"/>
      </rPr>
      <t xml:space="preserve">P44.2 </t>
    </r>
    <r>
      <rPr>
        <sz val="11"/>
        <color theme="1"/>
        <rFont val="Calibri"/>
        <family val="2"/>
        <scheme val="minor"/>
      </rPr>
      <t>Personal capacitado.</t>
    </r>
  </si>
  <si>
    <r>
      <rPr>
        <b/>
        <sz val="11"/>
        <color theme="1"/>
        <rFont val="Calibri"/>
        <family val="2"/>
        <scheme val="minor"/>
      </rPr>
      <t xml:space="preserve">P44.3 </t>
    </r>
    <r>
      <rPr>
        <sz val="11"/>
        <color theme="1"/>
        <rFont val="Calibri"/>
        <family val="2"/>
        <scheme val="minor"/>
      </rPr>
      <t>Base de datos histórica.</t>
    </r>
  </si>
  <si>
    <r>
      <rPr>
        <b/>
        <sz val="11"/>
        <color theme="1"/>
        <rFont val="Calibri"/>
        <family val="2"/>
        <scheme val="minor"/>
      </rPr>
      <t xml:space="preserve">P44.4 </t>
    </r>
    <r>
      <rPr>
        <sz val="11"/>
        <color theme="1"/>
        <rFont val="Calibri"/>
        <family val="2"/>
        <scheme val="minor"/>
      </rPr>
      <t>Evaluación rápida.</t>
    </r>
  </si>
  <si>
    <r>
      <rPr>
        <b/>
        <sz val="11"/>
        <color theme="1"/>
        <rFont val="Calibri"/>
        <family val="2"/>
        <scheme val="minor"/>
      </rPr>
      <t xml:space="preserve">P44.5 </t>
    </r>
    <r>
      <rPr>
        <sz val="11"/>
        <color theme="1"/>
        <rFont val="Calibri"/>
        <family val="2"/>
        <scheme val="minor"/>
      </rPr>
      <t>Uso para planificación.</t>
    </r>
  </si>
  <si>
    <t>Variable 45. Mecanismos financieros</t>
  </si>
  <si>
    <r>
      <rPr>
        <b/>
        <sz val="11"/>
        <color theme="1"/>
        <rFont val="Calibri"/>
        <family val="2"/>
        <scheme val="minor"/>
      </rPr>
      <t xml:space="preserve">P45.1 </t>
    </r>
    <r>
      <rPr>
        <sz val="11"/>
        <color theme="1"/>
        <rFont val="Calibri"/>
        <family val="2"/>
        <scheme val="minor"/>
      </rPr>
      <t>Fondo contingente.</t>
    </r>
  </si>
  <si>
    <r>
      <rPr>
        <b/>
        <sz val="11"/>
        <color theme="1"/>
        <rFont val="Calibri"/>
        <family val="2"/>
        <scheme val="minor"/>
      </rPr>
      <t xml:space="preserve">P45.2 </t>
    </r>
    <r>
      <rPr>
        <sz val="11"/>
        <color theme="1"/>
        <rFont val="Calibri"/>
        <family val="2"/>
        <scheme val="minor"/>
      </rPr>
      <t>Seguros disponibles.</t>
    </r>
  </si>
  <si>
    <r>
      <rPr>
        <b/>
        <sz val="11"/>
        <color theme="1"/>
        <rFont val="Calibri"/>
        <family val="2"/>
        <scheme val="minor"/>
      </rPr>
      <t xml:space="preserve">P45.3 </t>
    </r>
    <r>
      <rPr>
        <sz val="11"/>
        <color theme="1"/>
        <rFont val="Calibri"/>
        <family val="2"/>
        <scheme val="minor"/>
      </rPr>
      <t>Convenios financieros.</t>
    </r>
  </si>
  <si>
    <r>
      <rPr>
        <b/>
        <sz val="11"/>
        <color theme="1"/>
        <rFont val="Calibri"/>
        <family val="2"/>
        <scheme val="minor"/>
      </rPr>
      <t xml:space="preserve">P45.4 </t>
    </r>
    <r>
      <rPr>
        <sz val="11"/>
        <color theme="1"/>
        <rFont val="Calibri"/>
        <family val="2"/>
        <scheme val="minor"/>
      </rPr>
      <t>Acceso a créditos.</t>
    </r>
  </si>
  <si>
    <r>
      <rPr>
        <b/>
        <sz val="11"/>
        <color theme="1"/>
        <rFont val="Calibri"/>
        <family val="2"/>
        <scheme val="minor"/>
      </rPr>
      <t xml:space="preserve">P45.5 </t>
    </r>
    <r>
      <rPr>
        <sz val="11"/>
        <color theme="1"/>
        <rFont val="Calibri"/>
        <family val="2"/>
        <scheme val="minor"/>
      </rPr>
      <t>Recursos extraordinarios.</t>
    </r>
  </si>
  <si>
    <t>Variable 46. Plan de reconstrucción</t>
  </si>
  <si>
    <r>
      <rPr>
        <b/>
        <sz val="11"/>
        <color theme="1"/>
        <rFont val="Calibri"/>
        <family val="2"/>
        <scheme val="minor"/>
      </rPr>
      <t xml:space="preserve">P46.1 </t>
    </r>
    <r>
      <rPr>
        <sz val="11"/>
        <color theme="1"/>
        <rFont val="Calibri"/>
        <family val="2"/>
        <scheme val="minor"/>
      </rPr>
      <t>Existe plan.</t>
    </r>
  </si>
  <si>
    <r>
      <rPr>
        <b/>
        <sz val="11"/>
        <color theme="1"/>
        <rFont val="Calibri"/>
        <family val="2"/>
        <scheme val="minor"/>
      </rPr>
      <t xml:space="preserve">P46.2 </t>
    </r>
    <r>
      <rPr>
        <sz val="11"/>
        <color theme="1"/>
        <rFont val="Calibri"/>
        <family val="2"/>
        <scheme val="minor"/>
      </rPr>
      <t>Está actualizado.</t>
    </r>
  </si>
  <si>
    <r>
      <rPr>
        <b/>
        <sz val="11"/>
        <color theme="1"/>
        <rFont val="Calibri"/>
        <family val="2"/>
        <scheme val="minor"/>
      </rPr>
      <t xml:space="preserve">P46.3 </t>
    </r>
    <r>
      <rPr>
        <sz val="11"/>
        <color theme="1"/>
        <rFont val="Calibri"/>
        <family val="2"/>
        <scheme val="minor"/>
      </rPr>
      <t>Incluye cronograma.</t>
    </r>
  </si>
  <si>
    <r>
      <rPr>
        <b/>
        <sz val="11"/>
        <color theme="1"/>
        <rFont val="Calibri"/>
        <family val="2"/>
        <scheme val="minor"/>
      </rPr>
      <t xml:space="preserve">P46.4 </t>
    </r>
    <r>
      <rPr>
        <sz val="11"/>
        <color theme="1"/>
        <rFont val="Calibri"/>
        <family val="2"/>
        <scheme val="minor"/>
      </rPr>
      <t>Incluye presupuesto.</t>
    </r>
  </si>
  <si>
    <r>
      <rPr>
        <b/>
        <sz val="11"/>
        <color theme="1"/>
        <rFont val="Calibri"/>
        <family val="2"/>
        <scheme val="minor"/>
      </rPr>
      <t xml:space="preserve">P46.5 </t>
    </r>
    <r>
      <rPr>
        <sz val="11"/>
        <color theme="1"/>
        <rFont val="Calibri"/>
        <family val="2"/>
        <scheme val="minor"/>
      </rPr>
      <t>Define responsables.</t>
    </r>
  </si>
  <si>
    <t>Variable 47. Reconstruir Mejor</t>
  </si>
  <si>
    <r>
      <rPr>
        <b/>
        <sz val="11"/>
        <color theme="1"/>
        <rFont val="Calibri"/>
        <family val="2"/>
        <scheme val="minor"/>
      </rPr>
      <t xml:space="preserve">P47.1 </t>
    </r>
    <r>
      <rPr>
        <sz val="11"/>
        <color theme="1"/>
        <rFont val="Calibri"/>
        <family val="2"/>
        <scheme val="minor"/>
      </rPr>
      <t>Se aplica Build Back Better (Recostruir mejor atenuando el riesgo).</t>
    </r>
  </si>
  <si>
    <r>
      <rPr>
        <b/>
        <sz val="11"/>
        <color theme="1"/>
        <rFont val="Calibri"/>
        <family val="2"/>
        <scheme val="minor"/>
      </rPr>
      <t xml:space="preserve">P47.2 </t>
    </r>
    <r>
      <rPr>
        <sz val="11"/>
        <color theme="1"/>
        <rFont val="Calibri"/>
        <family val="2"/>
        <scheme val="minor"/>
      </rPr>
      <t>Nuevas obras son resilientes.</t>
    </r>
  </si>
  <si>
    <r>
      <rPr>
        <b/>
        <sz val="11"/>
        <color theme="1"/>
        <rFont val="Calibri"/>
        <family val="2"/>
        <scheme val="minor"/>
      </rPr>
      <t xml:space="preserve">P47.3 </t>
    </r>
    <r>
      <rPr>
        <sz val="11"/>
        <color theme="1"/>
        <rFont val="Calibri"/>
        <family val="2"/>
        <scheme val="minor"/>
      </rPr>
      <t>Se reducen vulnerabilidades.</t>
    </r>
  </si>
  <si>
    <r>
      <rPr>
        <b/>
        <sz val="11"/>
        <color theme="1"/>
        <rFont val="Calibri"/>
        <family val="2"/>
        <scheme val="minor"/>
      </rPr>
      <t xml:space="preserve">P47.4 </t>
    </r>
    <r>
      <rPr>
        <sz val="11"/>
        <color theme="1"/>
        <rFont val="Calibri"/>
        <family val="2"/>
        <scheme val="minor"/>
      </rPr>
      <t>Existen indicadores.</t>
    </r>
  </si>
  <si>
    <r>
      <rPr>
        <b/>
        <sz val="11"/>
        <color theme="1"/>
        <rFont val="Calibri"/>
        <family val="2"/>
        <scheme val="minor"/>
      </rPr>
      <t xml:space="preserve">P47.5 </t>
    </r>
    <r>
      <rPr>
        <sz val="11"/>
        <color theme="1"/>
        <rFont val="Calibri"/>
        <family val="2"/>
        <scheme val="minor"/>
      </rPr>
      <t>Se monitorea cumplimiento.</t>
    </r>
  </si>
  <si>
    <t>Variable 48. Continuidad de servicios básicos</t>
  </si>
  <si>
    <r>
      <rPr>
        <b/>
        <sz val="11"/>
        <color theme="1"/>
        <rFont val="Calibri"/>
        <family val="2"/>
        <scheme val="minor"/>
      </rPr>
      <t xml:space="preserve">P48.1 </t>
    </r>
    <r>
      <rPr>
        <sz val="11"/>
        <color theme="1"/>
        <rFont val="Calibri"/>
        <family val="2"/>
        <scheme val="minor"/>
      </rPr>
      <t>Agua potable garantizada.</t>
    </r>
  </si>
  <si>
    <r>
      <rPr>
        <b/>
        <sz val="11"/>
        <color theme="1"/>
        <rFont val="Calibri"/>
        <family val="2"/>
        <scheme val="minor"/>
      </rPr>
      <t xml:space="preserve">P48.2 </t>
    </r>
    <r>
      <rPr>
        <sz val="11"/>
        <color theme="1"/>
        <rFont val="Calibri"/>
        <family val="2"/>
        <scheme val="minor"/>
      </rPr>
      <t>Energía restablecida.</t>
    </r>
  </si>
  <si>
    <r>
      <rPr>
        <b/>
        <sz val="11"/>
        <color theme="1"/>
        <rFont val="Calibri"/>
        <family val="2"/>
        <scheme val="minor"/>
      </rPr>
      <t xml:space="preserve">P48.3 </t>
    </r>
    <r>
      <rPr>
        <sz val="11"/>
        <color theme="1"/>
        <rFont val="Calibri"/>
        <family val="2"/>
        <scheme val="minor"/>
      </rPr>
      <t>Salud operativa.</t>
    </r>
  </si>
  <si>
    <r>
      <rPr>
        <b/>
        <sz val="11"/>
        <color theme="1"/>
        <rFont val="Calibri"/>
        <family val="2"/>
        <scheme val="minor"/>
      </rPr>
      <t xml:space="preserve">P48.4 </t>
    </r>
    <r>
      <rPr>
        <sz val="11"/>
        <color theme="1"/>
        <rFont val="Calibri"/>
        <family val="2"/>
        <scheme val="minor"/>
      </rPr>
      <t>Recolección de residuos.</t>
    </r>
  </si>
  <si>
    <r>
      <rPr>
        <b/>
        <sz val="11"/>
        <color theme="1"/>
        <rFont val="Calibri"/>
        <family val="2"/>
        <scheme val="minor"/>
      </rPr>
      <t xml:space="preserve">P48.5 </t>
    </r>
    <r>
      <rPr>
        <sz val="11"/>
        <color theme="1"/>
        <rFont val="Calibri"/>
        <family val="2"/>
        <scheme val="minor"/>
      </rPr>
      <t>Comunicaciones funcionales.</t>
    </r>
  </si>
  <si>
    <t>VIII. FINANCIAMIENTO Y SOSTENIBILIDAD</t>
  </si>
  <si>
    <t>Variable 49. Transferencia del riesgo</t>
  </si>
  <si>
    <r>
      <rPr>
        <b/>
        <sz val="11"/>
        <color theme="1"/>
        <rFont val="Calibri"/>
        <family val="2"/>
        <scheme val="minor"/>
      </rPr>
      <t xml:space="preserve">P49.1 </t>
    </r>
    <r>
      <rPr>
        <sz val="11"/>
        <color theme="1"/>
        <rFont val="Calibri"/>
        <family val="2"/>
        <scheme val="minor"/>
      </rPr>
      <t>Seguros institucionales.</t>
    </r>
  </si>
  <si>
    <r>
      <rPr>
        <b/>
        <sz val="11"/>
        <color theme="1"/>
        <rFont val="Calibri"/>
        <family val="2"/>
        <scheme val="minor"/>
      </rPr>
      <t xml:space="preserve">P49.2 </t>
    </r>
    <r>
      <rPr>
        <sz val="11"/>
        <color theme="1"/>
        <rFont val="Calibri"/>
        <family val="2"/>
        <scheme val="minor"/>
      </rPr>
      <t>Pólizas vigentes.</t>
    </r>
  </si>
  <si>
    <r>
      <rPr>
        <b/>
        <sz val="11"/>
        <color theme="1"/>
        <rFont val="Calibri"/>
        <family val="2"/>
        <scheme val="minor"/>
      </rPr>
      <t xml:space="preserve">P49.3 </t>
    </r>
    <r>
      <rPr>
        <sz val="11"/>
        <color theme="1"/>
        <rFont val="Calibri"/>
        <family val="2"/>
        <scheme val="minor"/>
      </rPr>
      <t>Cobertura suficiente.</t>
    </r>
  </si>
  <si>
    <r>
      <rPr>
        <b/>
        <sz val="11"/>
        <color theme="1"/>
        <rFont val="Calibri"/>
        <family val="2"/>
        <scheme val="minor"/>
      </rPr>
      <t xml:space="preserve">P49.4 </t>
    </r>
    <r>
      <rPr>
        <sz val="11"/>
        <color theme="1"/>
        <rFont val="Calibri"/>
        <family val="2"/>
        <scheme val="minor"/>
      </rPr>
      <t>Revisión periódica.</t>
    </r>
  </si>
  <si>
    <r>
      <rPr>
        <b/>
        <sz val="11"/>
        <color theme="1"/>
        <rFont val="Calibri"/>
        <family val="2"/>
        <scheme val="minor"/>
      </rPr>
      <t xml:space="preserve">P49.5 </t>
    </r>
    <r>
      <rPr>
        <sz val="11"/>
        <color theme="1"/>
        <rFont val="Calibri"/>
        <family val="2"/>
        <scheme val="minor"/>
      </rPr>
      <t>Conocimiento institucional.</t>
    </r>
  </si>
  <si>
    <t>Variable 50. Rendición de cuentas</t>
  </si>
  <si>
    <r>
      <rPr>
        <b/>
        <sz val="11"/>
        <color theme="1"/>
        <rFont val="Calibri"/>
        <family val="2"/>
        <scheme val="minor"/>
      </rPr>
      <t xml:space="preserve">P50.1 </t>
    </r>
    <r>
      <rPr>
        <sz val="11"/>
        <color theme="1"/>
        <rFont val="Calibri"/>
        <family val="2"/>
        <scheme val="minor"/>
      </rPr>
      <t>Informes anuales.</t>
    </r>
  </si>
  <si>
    <r>
      <rPr>
        <b/>
        <sz val="11"/>
        <color theme="1"/>
        <rFont val="Calibri"/>
        <family val="2"/>
        <scheme val="minor"/>
      </rPr>
      <t xml:space="preserve">P50.2 </t>
    </r>
    <r>
      <rPr>
        <sz val="11"/>
        <color theme="1"/>
        <rFont val="Calibri"/>
        <family val="2"/>
        <scheme val="minor"/>
      </rPr>
      <t>Información pública.</t>
    </r>
  </si>
  <si>
    <r>
      <rPr>
        <b/>
        <sz val="11"/>
        <color theme="1"/>
        <rFont val="Calibri"/>
        <family val="2"/>
        <scheme val="minor"/>
      </rPr>
      <t xml:space="preserve">P50.3 </t>
    </r>
    <r>
      <rPr>
        <sz val="11"/>
        <color theme="1"/>
        <rFont val="Calibri"/>
        <family val="2"/>
        <scheme val="minor"/>
      </rPr>
      <t>Participación ciudadana.</t>
    </r>
  </si>
  <si>
    <r>
      <rPr>
        <b/>
        <sz val="11"/>
        <color theme="1"/>
        <rFont val="Calibri"/>
        <family val="2"/>
        <scheme val="minor"/>
      </rPr>
      <t xml:space="preserve">P50.4 </t>
    </r>
    <r>
      <rPr>
        <sz val="11"/>
        <color theme="1"/>
        <rFont val="Calibri"/>
        <family val="2"/>
        <scheme val="minor"/>
      </rPr>
      <t>Auditorías efectuadas.</t>
    </r>
  </si>
  <si>
    <r>
      <rPr>
        <b/>
        <sz val="11"/>
        <color theme="1"/>
        <rFont val="Calibri"/>
        <family val="2"/>
        <scheme val="minor"/>
      </rPr>
      <t xml:space="preserve">P50.5 </t>
    </r>
    <r>
      <rPr>
        <sz val="11"/>
        <color theme="1"/>
        <rFont val="Calibri"/>
        <family val="2"/>
        <scheme val="minor"/>
      </rPr>
      <t>Recomendaciones implementadas.</t>
    </r>
  </si>
  <si>
    <r>
      <rPr>
        <b/>
        <sz val="11"/>
        <color theme="1"/>
        <rFont val="Calibri"/>
        <family val="2"/>
        <scheme val="minor"/>
      </rPr>
      <t xml:space="preserve">P51.1 </t>
    </r>
    <r>
      <rPr>
        <sz val="11"/>
        <color theme="1"/>
        <rFont val="Calibri"/>
        <family val="2"/>
        <scheme val="minor"/>
      </rPr>
      <t>Presupuesto suficiente.</t>
    </r>
  </si>
  <si>
    <r>
      <rPr>
        <b/>
        <sz val="11"/>
        <color theme="1"/>
        <rFont val="Calibri"/>
        <family val="2"/>
        <scheme val="minor"/>
      </rPr>
      <t xml:space="preserve">P51.2 </t>
    </r>
    <r>
      <rPr>
        <sz val="11"/>
        <color theme="1"/>
        <rFont val="Calibri"/>
        <family val="2"/>
        <scheme val="minor"/>
      </rPr>
      <t>Ejecución adecuada.</t>
    </r>
  </si>
  <si>
    <r>
      <rPr>
        <b/>
        <sz val="11"/>
        <color theme="1"/>
        <rFont val="Calibri"/>
        <family val="2"/>
        <scheme val="minor"/>
      </rPr>
      <t xml:space="preserve">P51.3 </t>
    </r>
    <r>
      <rPr>
        <sz val="11"/>
        <color theme="1"/>
        <rFont val="Calibri"/>
        <family val="2"/>
        <scheme val="minor"/>
      </rPr>
      <t>Incremento progresivo.</t>
    </r>
  </si>
  <si>
    <r>
      <rPr>
        <b/>
        <sz val="11"/>
        <color theme="1"/>
        <rFont val="Calibri"/>
        <family val="2"/>
        <scheme val="minor"/>
      </rPr>
      <t xml:space="preserve">P51.4 </t>
    </r>
    <r>
      <rPr>
        <sz val="11"/>
        <color theme="1"/>
        <rFont val="Calibri"/>
        <family val="2"/>
        <scheme val="minor"/>
      </rPr>
      <t>Diversificación de fuentes.</t>
    </r>
  </si>
  <si>
    <r>
      <rPr>
        <b/>
        <sz val="11"/>
        <color theme="1"/>
        <rFont val="Calibri"/>
        <family val="2"/>
        <scheme val="minor"/>
      </rPr>
      <t xml:space="preserve">P51.5 </t>
    </r>
    <r>
      <rPr>
        <sz val="11"/>
        <color theme="1"/>
        <rFont val="Calibri"/>
        <family val="2"/>
        <scheme val="minor"/>
      </rPr>
      <t>Alineación con necesidades territoriales.</t>
    </r>
  </si>
  <si>
    <t>IX. PARTICIPACIÓN SOCIAL Y COORDINACIÓN</t>
  </si>
  <si>
    <t>Variable 51. Financiamiento anual en GIRD</t>
  </si>
  <si>
    <t>Variable 52. Registro de instrumentos</t>
  </si>
  <si>
    <r>
      <rPr>
        <b/>
        <sz val="11"/>
        <color theme="1"/>
        <rFont val="Calibri"/>
        <family val="2"/>
        <scheme val="minor"/>
      </rPr>
      <t xml:space="preserve">P52.1 </t>
    </r>
    <r>
      <rPr>
        <sz val="11"/>
        <color theme="1"/>
        <rFont val="Calibri"/>
        <family val="2"/>
        <scheme val="minor"/>
      </rPr>
      <t>Planes registrados.</t>
    </r>
  </si>
  <si>
    <r>
      <rPr>
        <b/>
        <sz val="11"/>
        <color theme="1"/>
        <rFont val="Calibri"/>
        <family val="2"/>
        <scheme val="minor"/>
      </rPr>
      <t xml:space="preserve">P52.2 </t>
    </r>
    <r>
      <rPr>
        <sz val="11"/>
        <color theme="1"/>
        <rFont val="Calibri"/>
        <family val="2"/>
        <scheme val="minor"/>
      </rPr>
      <t>Protocolos registrados.</t>
    </r>
  </si>
  <si>
    <r>
      <rPr>
        <b/>
        <sz val="11"/>
        <color theme="1"/>
        <rFont val="Calibri"/>
        <family val="2"/>
        <scheme val="minor"/>
      </rPr>
      <t xml:space="preserve">P52.3 </t>
    </r>
    <r>
      <rPr>
        <sz val="11"/>
        <color theme="1"/>
        <rFont val="Calibri"/>
        <family val="2"/>
        <scheme val="minor"/>
      </rPr>
      <t>Actualización periódica.</t>
    </r>
  </si>
  <si>
    <r>
      <rPr>
        <b/>
        <sz val="11"/>
        <color theme="1"/>
        <rFont val="Calibri"/>
        <family val="2"/>
        <scheme val="minor"/>
      </rPr>
      <t xml:space="preserve">P52.4 </t>
    </r>
    <r>
      <rPr>
        <sz val="11"/>
        <color theme="1"/>
        <rFont val="Calibri"/>
        <family val="2"/>
        <scheme val="minor"/>
      </rPr>
      <t>Validación institucional.</t>
    </r>
  </si>
  <si>
    <r>
      <rPr>
        <b/>
        <sz val="11"/>
        <color theme="1"/>
        <rFont val="Calibri"/>
        <family val="2"/>
        <scheme val="minor"/>
      </rPr>
      <t xml:space="preserve">P52.5 </t>
    </r>
    <r>
      <rPr>
        <sz val="11"/>
        <color theme="1"/>
        <rFont val="Calibri"/>
        <family val="2"/>
        <scheme val="minor"/>
      </rPr>
      <t>Disponibilidad documental.</t>
    </r>
  </si>
  <si>
    <t>Variable 53. Participación ciudadana</t>
  </si>
  <si>
    <r>
      <rPr>
        <b/>
        <sz val="11"/>
        <color theme="1"/>
        <rFont val="Calibri"/>
        <family val="2"/>
        <scheme val="minor"/>
      </rPr>
      <t xml:space="preserve">P53.1 </t>
    </r>
    <r>
      <rPr>
        <sz val="11"/>
        <color theme="1"/>
        <rFont val="Calibri"/>
        <family val="2"/>
        <scheme val="minor"/>
      </rPr>
      <t>Participación en planificación.</t>
    </r>
  </si>
  <si>
    <r>
      <rPr>
        <b/>
        <sz val="11"/>
        <color theme="1"/>
        <rFont val="Calibri"/>
        <family val="2"/>
        <scheme val="minor"/>
      </rPr>
      <t xml:space="preserve">P53.2 </t>
    </r>
    <r>
      <rPr>
        <sz val="11"/>
        <color theme="1"/>
        <rFont val="Calibri"/>
        <family val="2"/>
        <scheme val="minor"/>
      </rPr>
      <t>Participación en simulacros.</t>
    </r>
  </si>
  <si>
    <r>
      <rPr>
        <b/>
        <sz val="11"/>
        <color theme="1"/>
        <rFont val="Calibri"/>
        <family val="2"/>
        <scheme val="minor"/>
      </rPr>
      <t xml:space="preserve">P53.3 </t>
    </r>
    <r>
      <rPr>
        <sz val="11"/>
        <color theme="1"/>
        <rFont val="Calibri"/>
        <family val="2"/>
        <scheme val="minor"/>
      </rPr>
      <t>Participación en evaluaciones.</t>
    </r>
  </si>
  <si>
    <r>
      <rPr>
        <b/>
        <sz val="11"/>
        <color theme="1"/>
        <rFont val="Calibri"/>
        <family val="2"/>
        <scheme val="minor"/>
      </rPr>
      <t xml:space="preserve">P53.4 </t>
    </r>
    <r>
      <rPr>
        <sz val="11"/>
        <color theme="1"/>
        <rFont val="Calibri"/>
        <family val="2"/>
        <scheme val="minor"/>
      </rPr>
      <t>Inclusión de comunidades rurales.</t>
    </r>
  </si>
  <si>
    <r>
      <rPr>
        <b/>
        <sz val="11"/>
        <color theme="1"/>
        <rFont val="Calibri"/>
        <family val="2"/>
        <scheme val="minor"/>
      </rPr>
      <t xml:space="preserve">P53.5 </t>
    </r>
    <r>
      <rPr>
        <sz val="11"/>
        <color theme="1"/>
        <rFont val="Calibri"/>
        <family val="2"/>
        <scheme val="minor"/>
      </rPr>
      <t>Retroalimentación ciudadana.</t>
    </r>
  </si>
  <si>
    <t>Variable 54. Participación de universidades</t>
  </si>
  <si>
    <r>
      <rPr>
        <b/>
        <sz val="11"/>
        <color theme="1"/>
        <rFont val="Calibri"/>
        <family val="2"/>
        <scheme val="minor"/>
      </rPr>
      <t xml:space="preserve">P54.1 </t>
    </r>
    <r>
      <rPr>
        <sz val="11"/>
        <color theme="1"/>
        <rFont val="Calibri"/>
        <family val="2"/>
        <scheme val="minor"/>
      </rPr>
      <t>Convenios vigentes.</t>
    </r>
  </si>
  <si>
    <r>
      <rPr>
        <b/>
        <sz val="11"/>
        <color theme="1"/>
        <rFont val="Calibri"/>
        <family val="2"/>
        <scheme val="minor"/>
      </rPr>
      <t xml:space="preserve">P54.2 </t>
    </r>
    <r>
      <rPr>
        <sz val="11"/>
        <color theme="1"/>
        <rFont val="Calibri"/>
        <family val="2"/>
        <scheme val="minor"/>
      </rPr>
      <t>Investigación conjunta.</t>
    </r>
  </si>
  <si>
    <r>
      <rPr>
        <b/>
        <sz val="11"/>
        <color theme="1"/>
        <rFont val="Calibri"/>
        <family val="2"/>
        <scheme val="minor"/>
      </rPr>
      <t xml:space="preserve">P54.3 </t>
    </r>
    <r>
      <rPr>
        <sz val="11"/>
        <color theme="1"/>
        <rFont val="Calibri"/>
        <family val="2"/>
        <scheme val="minor"/>
      </rPr>
      <t>Pasantías estudiantiles.</t>
    </r>
  </si>
  <si>
    <r>
      <rPr>
        <b/>
        <sz val="11"/>
        <color theme="1"/>
        <rFont val="Calibri"/>
        <family val="2"/>
        <scheme val="minor"/>
      </rPr>
      <t xml:space="preserve">P54.4 </t>
    </r>
    <r>
      <rPr>
        <sz val="11"/>
        <color theme="1"/>
        <rFont val="Calibri"/>
        <family val="2"/>
        <scheme val="minor"/>
      </rPr>
      <t>Asistencia técnica.</t>
    </r>
  </si>
  <si>
    <r>
      <rPr>
        <b/>
        <sz val="11"/>
        <color theme="1"/>
        <rFont val="Calibri"/>
        <family val="2"/>
        <scheme val="minor"/>
      </rPr>
      <t xml:space="preserve">P54.5 </t>
    </r>
    <r>
      <rPr>
        <sz val="11"/>
        <color theme="1"/>
        <rFont val="Calibri"/>
        <family val="2"/>
        <scheme val="minor"/>
      </rPr>
      <t>Transferencia tecnológica.</t>
    </r>
  </si>
  <si>
    <t>Variable 55. Participación de grupos vulnerables</t>
  </si>
  <si>
    <r>
      <rPr>
        <b/>
        <sz val="11"/>
        <color theme="1"/>
        <rFont val="Calibri"/>
        <family val="2"/>
        <scheme val="minor"/>
      </rPr>
      <t xml:space="preserve">P55.1 </t>
    </r>
    <r>
      <rPr>
        <sz val="11"/>
        <color theme="1"/>
        <rFont val="Calibri"/>
        <family val="2"/>
        <scheme val="minor"/>
      </rPr>
      <t>Participación de mujeres.</t>
    </r>
  </si>
  <si>
    <r>
      <rPr>
        <b/>
        <sz val="11"/>
        <color theme="1"/>
        <rFont val="Calibri"/>
        <family val="2"/>
        <scheme val="minor"/>
      </rPr>
      <t xml:space="preserve">P55.2 </t>
    </r>
    <r>
      <rPr>
        <sz val="11"/>
        <color theme="1"/>
        <rFont val="Calibri"/>
        <family val="2"/>
        <scheme val="minor"/>
      </rPr>
      <t>Participación de adultos mayores.</t>
    </r>
  </si>
  <si>
    <r>
      <rPr>
        <b/>
        <sz val="11"/>
        <color theme="1"/>
        <rFont val="Calibri"/>
        <family val="2"/>
        <scheme val="minor"/>
      </rPr>
      <t xml:space="preserve">P55.3 </t>
    </r>
    <r>
      <rPr>
        <sz val="11"/>
        <color theme="1"/>
        <rFont val="Calibri"/>
        <family val="2"/>
        <scheme val="minor"/>
      </rPr>
      <t>Participación de personas con discapacidad.</t>
    </r>
  </si>
  <si>
    <r>
      <rPr>
        <b/>
        <sz val="11"/>
        <color theme="1"/>
        <rFont val="Calibri"/>
        <family val="2"/>
        <scheme val="minor"/>
      </rPr>
      <t xml:space="preserve">P55.4 </t>
    </r>
    <r>
      <rPr>
        <sz val="11"/>
        <color theme="1"/>
        <rFont val="Calibri"/>
        <family val="2"/>
        <scheme val="minor"/>
      </rPr>
      <t>Participación de pueblos y nacionalidades.</t>
    </r>
  </si>
  <si>
    <r>
      <rPr>
        <b/>
        <sz val="11"/>
        <color theme="1"/>
        <rFont val="Calibri"/>
        <family val="2"/>
        <scheme val="minor"/>
      </rPr>
      <t xml:space="preserve">P55.5 </t>
    </r>
    <r>
      <rPr>
        <sz val="11"/>
        <color theme="1"/>
        <rFont val="Calibri"/>
        <family val="2"/>
        <scheme val="minor"/>
      </rPr>
      <t>Incorporación de necesidades diferenciadas.</t>
    </r>
  </si>
  <si>
    <t>Provincia</t>
  </si>
  <si>
    <t>Cantón</t>
  </si>
  <si>
    <t>Azuay</t>
  </si>
  <si>
    <t>Cuenca</t>
  </si>
  <si>
    <t>Girón</t>
  </si>
  <si>
    <t>Gualaceo</t>
  </si>
  <si>
    <t>Nabón</t>
  </si>
  <si>
    <t>Paute</t>
  </si>
  <si>
    <t>Pucará</t>
  </si>
  <si>
    <t>San Fernando</t>
  </si>
  <si>
    <t>Santa Isabel</t>
  </si>
  <si>
    <t>Sígsig</t>
  </si>
  <si>
    <t>Chordeleg</t>
  </si>
  <si>
    <t>El Pan</t>
  </si>
  <si>
    <t>Oña</t>
  </si>
  <si>
    <t>Sevilla de Oro</t>
  </si>
  <si>
    <t>Guachapala</t>
  </si>
  <si>
    <t>Camilo Ponce Enríquez</t>
  </si>
  <si>
    <t>Bolívar</t>
  </si>
  <si>
    <t>Guaranda</t>
  </si>
  <si>
    <t>Chillanes</t>
  </si>
  <si>
    <t>Chimbo</t>
  </si>
  <si>
    <t>Echeandía</t>
  </si>
  <si>
    <t>San Miguel</t>
  </si>
  <si>
    <t>Caluma</t>
  </si>
  <si>
    <t>Las Naves</t>
  </si>
  <si>
    <t>Cañar</t>
  </si>
  <si>
    <t>Azogues</t>
  </si>
  <si>
    <t>Biblián</t>
  </si>
  <si>
    <t>La Troncal</t>
  </si>
  <si>
    <t>El Tambo</t>
  </si>
  <si>
    <t>Déleg</t>
  </si>
  <si>
    <t>Suscal</t>
  </si>
  <si>
    <t>Carchi</t>
  </si>
  <si>
    <t>Tulcán</t>
  </si>
  <si>
    <t>Espejo</t>
  </si>
  <si>
    <t>Mira</t>
  </si>
  <si>
    <t>Montúfar</t>
  </si>
  <si>
    <t>San Pedro de Huaca</t>
  </si>
  <si>
    <t>Chimborazo</t>
  </si>
  <si>
    <t>Riobamba</t>
  </si>
  <si>
    <t>Alausí</t>
  </si>
  <si>
    <t>Colta</t>
  </si>
  <si>
    <t>Chambo</t>
  </si>
  <si>
    <t>Chunchi</t>
  </si>
  <si>
    <t>Guamote</t>
  </si>
  <si>
    <t>Guano</t>
  </si>
  <si>
    <t>Pallatanga</t>
  </si>
  <si>
    <t>Penipe</t>
  </si>
  <si>
    <t>Cumandá</t>
  </si>
  <si>
    <t>Cotopaxi</t>
  </si>
  <si>
    <t>Latacunga</t>
  </si>
  <si>
    <t>La Maná</t>
  </si>
  <si>
    <t>Pangua</t>
  </si>
  <si>
    <t>Pujilí</t>
  </si>
  <si>
    <t>Salcedo</t>
  </si>
  <si>
    <t>Saquisilí</t>
  </si>
  <si>
    <t>Sigchos</t>
  </si>
  <si>
    <t>El Oro</t>
  </si>
  <si>
    <t>Machala</t>
  </si>
  <si>
    <t>Arenillas</t>
  </si>
  <si>
    <t>Atahualpa</t>
  </si>
  <si>
    <t>Balsas</t>
  </si>
  <si>
    <t>Chilla</t>
  </si>
  <si>
    <t>El Guabo</t>
  </si>
  <si>
    <t>Huaquillas</t>
  </si>
  <si>
    <t>Marcabelí</t>
  </si>
  <si>
    <t>Pasaje</t>
  </si>
  <si>
    <t>Piñas</t>
  </si>
  <si>
    <t>Portovelo</t>
  </si>
  <si>
    <t>Santa Rosa</t>
  </si>
  <si>
    <t>Zaruma</t>
  </si>
  <si>
    <t>Las Lajas</t>
  </si>
  <si>
    <t>Esmeraldas</t>
  </si>
  <si>
    <t>Eloy Alfaro</t>
  </si>
  <si>
    <t>Muisne</t>
  </si>
  <si>
    <t>Quinindé</t>
  </si>
  <si>
    <t>San Lorenzo</t>
  </si>
  <si>
    <t>Atacames</t>
  </si>
  <si>
    <t>Rioverde</t>
  </si>
  <si>
    <t>Galápagos</t>
  </si>
  <si>
    <t>San Cristóbal</t>
  </si>
  <si>
    <t>Isabela</t>
  </si>
  <si>
    <t>Santa Cruz</t>
  </si>
  <si>
    <t>Guayas</t>
  </si>
  <si>
    <t>Guayaquil</t>
  </si>
  <si>
    <t>Balao</t>
  </si>
  <si>
    <t>Balzar</t>
  </si>
  <si>
    <t>Colimes</t>
  </si>
  <si>
    <t>Daule</t>
  </si>
  <si>
    <t>Durán</t>
  </si>
  <si>
    <t>El Empalme</t>
  </si>
  <si>
    <t>El Triunfo</t>
  </si>
  <si>
    <t>Milagro</t>
  </si>
  <si>
    <t>Naranjal</t>
  </si>
  <si>
    <t>Naranjito</t>
  </si>
  <si>
    <t>Palestina</t>
  </si>
  <si>
    <t>Pedro Carbo</t>
  </si>
  <si>
    <t>Samborondón</t>
  </si>
  <si>
    <t>Santa Lucía</t>
  </si>
  <si>
    <t>Salitre</t>
  </si>
  <si>
    <t>Playas</t>
  </si>
  <si>
    <t>Simón Bolívar</t>
  </si>
  <si>
    <t>Yaguachi</t>
  </si>
  <si>
    <t>Marcelino Maridueña</t>
  </si>
  <si>
    <t>Lomas de Sargentillo</t>
  </si>
  <si>
    <t>Nobol</t>
  </si>
  <si>
    <t>Isidro Ayora</t>
  </si>
  <si>
    <t>Imbabura</t>
  </si>
  <si>
    <t>Ibarra</t>
  </si>
  <si>
    <t>Antonio Ante</t>
  </si>
  <si>
    <t>Cotacachi</t>
  </si>
  <si>
    <t>Otavalo</t>
  </si>
  <si>
    <t>Pimampiro</t>
  </si>
  <si>
    <t>Urcuquí</t>
  </si>
  <si>
    <t>Loja</t>
  </si>
  <si>
    <t>Calvas</t>
  </si>
  <si>
    <t>Catamayo</t>
  </si>
  <si>
    <t>Celica</t>
  </si>
  <si>
    <t>Chaguarpamba</t>
  </si>
  <si>
    <t>Espíndola</t>
  </si>
  <si>
    <t>Gonzanamá</t>
  </si>
  <si>
    <t>Macará</t>
  </si>
  <si>
    <t>Paltas</t>
  </si>
  <si>
    <t>Pindal</t>
  </si>
  <si>
    <t>Puyango</t>
  </si>
  <si>
    <t>Saraguro</t>
  </si>
  <si>
    <t>Sozoranga</t>
  </si>
  <si>
    <t>Zapotillo</t>
  </si>
  <si>
    <t>Quilanga</t>
  </si>
  <si>
    <t>Olmedo</t>
  </si>
  <si>
    <t>Los Ríos</t>
  </si>
  <si>
    <t>Babahoyo</t>
  </si>
  <si>
    <t>Baba</t>
  </si>
  <si>
    <t>Montalvo</t>
  </si>
  <si>
    <t>Puebloviejo</t>
  </si>
  <si>
    <t>Quevedo</t>
  </si>
  <si>
    <t>Urdaneta</t>
  </si>
  <si>
    <t>Ventanas</t>
  </si>
  <si>
    <t>Vinces</t>
  </si>
  <si>
    <t>Palenque</t>
  </si>
  <si>
    <t>Buena Fe</t>
  </si>
  <si>
    <t>Valencia</t>
  </si>
  <si>
    <t>Mocache</t>
  </si>
  <si>
    <t>Quinsaloma</t>
  </si>
  <si>
    <t>Manabí</t>
  </si>
  <si>
    <t>Portoviejo</t>
  </si>
  <si>
    <t>Chone</t>
  </si>
  <si>
    <t>El Carmen</t>
  </si>
  <si>
    <t>Flavio Alfaro</t>
  </si>
  <si>
    <t>Jipijapa</t>
  </si>
  <si>
    <t>Junín</t>
  </si>
  <si>
    <t>Manta</t>
  </si>
  <si>
    <t>Montecristi</t>
  </si>
  <si>
    <t>Paján</t>
  </si>
  <si>
    <t>Pichincha</t>
  </si>
  <si>
    <t>Rocafuerte</t>
  </si>
  <si>
    <t>Santa Ana</t>
  </si>
  <si>
    <t>Sucre</t>
  </si>
  <si>
    <t>Tosagua</t>
  </si>
  <si>
    <t>24 de Mayo</t>
  </si>
  <si>
    <t>Pedernales</t>
  </si>
  <si>
    <t>Puerto López</t>
  </si>
  <si>
    <t>Jama</t>
  </si>
  <si>
    <t>Jaramijó</t>
  </si>
  <si>
    <t>San Vicente</t>
  </si>
  <si>
    <t>Morona Santiago</t>
  </si>
  <si>
    <t>Morona</t>
  </si>
  <si>
    <t>Gualaquiza</t>
  </si>
  <si>
    <t>Limón Indanza</t>
  </si>
  <si>
    <t>Palora</t>
  </si>
  <si>
    <t>Santiago</t>
  </si>
  <si>
    <t>Sucúa</t>
  </si>
  <si>
    <t>Huamboya</t>
  </si>
  <si>
    <t>San Juan Bosco</t>
  </si>
  <si>
    <t>Taisha</t>
  </si>
  <si>
    <t>Logroño</t>
  </si>
  <si>
    <t>Pablo Sexto</t>
  </si>
  <si>
    <t>Tiwintza</t>
  </si>
  <si>
    <t>Napo</t>
  </si>
  <si>
    <t>Tena</t>
  </si>
  <si>
    <t>Archidona</t>
  </si>
  <si>
    <t>El Chaco</t>
  </si>
  <si>
    <t>Quijos</t>
  </si>
  <si>
    <t>Carlos Julio Arosemena Tola</t>
  </si>
  <si>
    <t>Orellana</t>
  </si>
  <si>
    <t>Francisco de Orellana</t>
  </si>
  <si>
    <t>Aguarico</t>
  </si>
  <si>
    <t>La Joya de los Sachas</t>
  </si>
  <si>
    <t>Loreto</t>
  </si>
  <si>
    <t>Pastaza</t>
  </si>
  <si>
    <t>Mera</t>
  </si>
  <si>
    <t>Santa Clara</t>
  </si>
  <si>
    <t>Arajuno</t>
  </si>
  <si>
    <t>Quito</t>
  </si>
  <si>
    <t>Cayambe</t>
  </si>
  <si>
    <t>Mejía</t>
  </si>
  <si>
    <t>Pedro Moncayo</t>
  </si>
  <si>
    <t>Rumiñahui</t>
  </si>
  <si>
    <t>San Miguel de los Bancos</t>
  </si>
  <si>
    <t>Pedro Vicente Maldonado</t>
  </si>
  <si>
    <t>Puerto Quito</t>
  </si>
  <si>
    <t>Santa Elena</t>
  </si>
  <si>
    <t>La Libertad</t>
  </si>
  <si>
    <t>Salinas</t>
  </si>
  <si>
    <t>Santo Domingo de los Tsáchilas</t>
  </si>
  <si>
    <t>Santo Domingo</t>
  </si>
  <si>
    <t>La Concordia</t>
  </si>
  <si>
    <t>Sucumbíos</t>
  </si>
  <si>
    <t>Lago Agrio</t>
  </si>
  <si>
    <t>Gonzalo Pizarro</t>
  </si>
  <si>
    <t>Putumayo</t>
  </si>
  <si>
    <t>Shushufindi</t>
  </si>
  <si>
    <t>Cascales</t>
  </si>
  <si>
    <t>Cuyabeno</t>
  </si>
  <si>
    <t>Tungurahua</t>
  </si>
  <si>
    <t>Ambato</t>
  </si>
  <si>
    <t>Baños de Agua Santa</t>
  </si>
  <si>
    <t>Cevallos</t>
  </si>
  <si>
    <t>Mocha</t>
  </si>
  <si>
    <t>Patate</t>
  </si>
  <si>
    <t>Quero</t>
  </si>
  <si>
    <t>Pelileo</t>
  </si>
  <si>
    <t>Píllaro</t>
  </si>
  <si>
    <t>Tisaleo</t>
  </si>
  <si>
    <t>Zamora Chinchipe</t>
  </si>
  <si>
    <t>Zamora</t>
  </si>
  <si>
    <t>Chinchipe</t>
  </si>
  <si>
    <t>Nangaritza</t>
  </si>
  <si>
    <t>Yacuambi</t>
  </si>
  <si>
    <t>Yantzaza</t>
  </si>
  <si>
    <t>El Pangui</t>
  </si>
  <si>
    <t>Centinela del Cóndor</t>
  </si>
  <si>
    <t>Palanda</t>
  </si>
  <si>
    <t>Paquisha</t>
  </si>
  <si>
    <t>Tipo de cantón</t>
  </si>
  <si>
    <t>Micro</t>
  </si>
  <si>
    <t>Pequeño</t>
  </si>
  <si>
    <t>Mediano</t>
  </si>
  <si>
    <t>Grande</t>
  </si>
  <si>
    <t>Metropolitano</t>
  </si>
  <si>
    <t>Dimensión</t>
  </si>
  <si>
    <t>III. Prevención del riesgo</t>
  </si>
  <si>
    <t>IV. Mitigación del riesgo</t>
  </si>
  <si>
    <t>V. Preparación y fortalecimiento de capacidades</t>
  </si>
  <si>
    <t>VI. Respuesta ante emergencias</t>
  </si>
  <si>
    <t>VII. Recuperación y reconstrucción</t>
  </si>
  <si>
    <t>VIII. Financiamiento y sostenibilidad</t>
  </si>
  <si>
    <t>IX. Participación social y coordinación</t>
  </si>
  <si>
    <t>V PREPARACIÓN Y FORTALECIMIENTO DE CAPACIDADES</t>
  </si>
  <si>
    <t>VIII. FINANCIEMIENTO Y SOSTENIBILIDAD</t>
  </si>
  <si>
    <t>Coeficiente</t>
  </si>
  <si>
    <t>Expertos</t>
  </si>
  <si>
    <t>Frecuencia</t>
  </si>
  <si>
    <t>IDM–GIRD</t>
  </si>
  <si>
    <t>CTI</t>
  </si>
  <si>
    <t>Código</t>
  </si>
  <si>
    <t>Tipo de variable</t>
  </si>
  <si>
    <t>Variable</t>
  </si>
  <si>
    <t>LOGIRD</t>
  </si>
  <si>
    <t>LOOTUGS</t>
  </si>
  <si>
    <t>COOTAD</t>
  </si>
  <si>
    <t>V1</t>
  </si>
  <si>
    <t>I. Gobernanza institucional</t>
  </si>
  <si>
    <t>Unidad Municipal de Gestión de Riesgos creada</t>
  </si>
  <si>
    <t>Art.20</t>
  </si>
  <si>
    <t>—</t>
  </si>
  <si>
    <t>Art.140</t>
  </si>
  <si>
    <t>V2</t>
  </si>
  <si>
    <t>Responsable técnico con perfil especializado</t>
  </si>
  <si>
    <t>V3</t>
  </si>
  <si>
    <t>Número de técnicos de la UGR</t>
  </si>
  <si>
    <t>V4</t>
  </si>
  <si>
    <t>Comité Cantonal de Gestión del Riesgo conformado</t>
  </si>
  <si>
    <t>Art.22</t>
  </si>
  <si>
    <t>V5</t>
  </si>
  <si>
    <t>COE cantonal operativo</t>
  </si>
  <si>
    <t>Art.12.12</t>
  </si>
  <si>
    <t>V6</t>
  </si>
  <si>
    <t>Sesiones anuales del COE</t>
  </si>
  <si>
    <t>Art.12</t>
  </si>
  <si>
    <t>V7</t>
  </si>
  <si>
    <t>II. Planificación territorial</t>
  </si>
  <si>
    <t>PDOT incorpora gestión de riesgos</t>
  </si>
  <si>
    <t>Art.9.6</t>
  </si>
  <si>
    <t>Art.11.3</t>
  </si>
  <si>
    <t>Art.295</t>
  </si>
  <si>
    <t>V8</t>
  </si>
  <si>
    <t>PUGS incorpora gestión de riesgos</t>
  </si>
  <si>
    <t>Art.10</t>
  </si>
  <si>
    <t>Art.18.3</t>
  </si>
  <si>
    <t>Art.466</t>
  </si>
  <si>
    <t>V9</t>
  </si>
  <si>
    <t>Escenarios prospectivos desarrollados</t>
  </si>
  <si>
    <t>Art.9</t>
  </si>
  <si>
    <t>V10</t>
  </si>
  <si>
    <t>Mapa de amenazas actualizado</t>
  </si>
  <si>
    <t>Art.9.3</t>
  </si>
  <si>
    <t>V11</t>
  </si>
  <si>
    <t>Mapa de riesgos actualizado</t>
  </si>
  <si>
    <t>V12</t>
  </si>
  <si>
    <t>Catastro de infraestructura crítica</t>
  </si>
  <si>
    <t>Art.55</t>
  </si>
  <si>
    <t>V13</t>
  </si>
  <si>
    <t>Monitoreo permanente de amenazas</t>
  </si>
  <si>
    <t>Art.9.4</t>
  </si>
  <si>
    <t>V14</t>
  </si>
  <si>
    <t>Protocolos de intercambio de información</t>
  </si>
  <si>
    <t>Art.9.5</t>
  </si>
  <si>
    <t>V15</t>
  </si>
  <si>
    <t>Programas comunitarios de capacitación</t>
  </si>
  <si>
    <t>Art.9.7</t>
  </si>
  <si>
    <t>Art.54</t>
  </si>
  <si>
    <t>V16</t>
  </si>
  <si>
    <t>Presupuesto destinado al conocimiento del riesgo</t>
  </si>
  <si>
    <t>Art.9.8</t>
  </si>
  <si>
    <t>Art.249</t>
  </si>
  <si>
    <t>V17</t>
  </si>
  <si>
    <t>Ordenanza municipal de gestión de riesgos</t>
  </si>
  <si>
    <t>Art.10.1</t>
  </si>
  <si>
    <t>Art.57</t>
  </si>
  <si>
    <t>V18</t>
  </si>
  <si>
    <t>Normativa de control de construcciones</t>
  </si>
  <si>
    <t>Art.10.3</t>
  </si>
  <si>
    <t>Art.54 literal o</t>
  </si>
  <si>
    <t>V19</t>
  </si>
  <si>
    <t>Sistema de alerta temprana implementado</t>
  </si>
  <si>
    <t>V20</t>
  </si>
  <si>
    <t>Sistema de información de riesgos</t>
  </si>
  <si>
    <t>V21</t>
  </si>
  <si>
    <t>Campañas de prevención ejecutadas</t>
  </si>
  <si>
    <t>Art.10.4</t>
  </si>
  <si>
    <t>V22</t>
  </si>
  <si>
    <t>Programas escolares de prevención</t>
  </si>
  <si>
    <t>V23</t>
  </si>
  <si>
    <t>Obras estructurales de mitigación</t>
  </si>
  <si>
    <t>V24</t>
  </si>
  <si>
    <t>Protección de riberas</t>
  </si>
  <si>
    <t>V25</t>
  </si>
  <si>
    <t>Estabilización de taludes</t>
  </si>
  <si>
    <t>V26</t>
  </si>
  <si>
    <t>Reforestación protectora</t>
  </si>
  <si>
    <t>Art.11.4</t>
  </si>
  <si>
    <t>Art.7</t>
  </si>
  <si>
    <t>Art.136</t>
  </si>
  <si>
    <t>V27</t>
  </si>
  <si>
    <t>Programas de adaptación climática</t>
  </si>
  <si>
    <t>V28</t>
  </si>
  <si>
    <t>Plan de respuesta territorial vigente</t>
  </si>
  <si>
    <t>Art.12.2</t>
  </si>
  <si>
    <t>V29</t>
  </si>
  <si>
    <t>Escenarios de impacto desarrollados</t>
  </si>
  <si>
    <t>Art.12.3</t>
  </si>
  <si>
    <t>V30</t>
  </si>
  <si>
    <t>Simulacros realizados</t>
  </si>
  <si>
    <t>Art.12.7</t>
  </si>
  <si>
    <t>V31</t>
  </si>
  <si>
    <t>Participantes en simulacros</t>
  </si>
  <si>
    <t>V32</t>
  </si>
  <si>
    <t>Equipos USAR capacitados</t>
  </si>
  <si>
    <t>Art.12.8</t>
  </si>
  <si>
    <t>V33</t>
  </si>
  <si>
    <t>Inventario de recursos actualizado</t>
  </si>
  <si>
    <t>Art.12.11</t>
  </si>
  <si>
    <t>V34</t>
  </si>
  <si>
    <t>Inventario de maquinaria pesada</t>
  </si>
  <si>
    <t>V35</t>
  </si>
  <si>
    <t>Stock de asistencia humanitaria</t>
  </si>
  <si>
    <t>Art.12.9</t>
  </si>
  <si>
    <t>V36</t>
  </si>
  <si>
    <t>Alojamientos temporales identificados</t>
  </si>
  <si>
    <t>Art.12.10</t>
  </si>
  <si>
    <t>V37</t>
  </si>
  <si>
    <t>Capacidad de alojamiento temporal</t>
  </si>
  <si>
    <t>V38</t>
  </si>
  <si>
    <t>Tiempo de activación del COE</t>
  </si>
  <si>
    <t>Art.13</t>
  </si>
  <si>
    <t>V39</t>
  </si>
  <si>
    <t>Tiempo de movilización de recursos</t>
  </si>
  <si>
    <t>V40</t>
  </si>
  <si>
    <t>Tiempo de entrega de ayuda humanitaria</t>
  </si>
  <si>
    <t>V41</t>
  </si>
  <si>
    <t>Protocolos de respuesta aprobados</t>
  </si>
  <si>
    <t>Art.13.5</t>
  </si>
  <si>
    <t>V42</t>
  </si>
  <si>
    <t>Evaluaciones postevento realizadas</t>
  </si>
  <si>
    <t>Art.13.6</t>
  </si>
  <si>
    <t>V43</t>
  </si>
  <si>
    <t>Presupuesto ejecutado en respuesta</t>
  </si>
  <si>
    <t>Art.13.7</t>
  </si>
  <si>
    <t>V44</t>
  </si>
  <si>
    <t>Evaluación de daños y pérdidas</t>
  </si>
  <si>
    <t>Art.15.2</t>
  </si>
  <si>
    <t>V45</t>
  </si>
  <si>
    <t>Mecanismo financiero para recuperación</t>
  </si>
  <si>
    <t>Art.15.3</t>
  </si>
  <si>
    <t>V46</t>
  </si>
  <si>
    <t>Plan de reconstrucción elaborado</t>
  </si>
  <si>
    <t>Art.16.4</t>
  </si>
  <si>
    <t>V47</t>
  </si>
  <si>
    <t>Estrategias de «Reconstruir Mejor»</t>
  </si>
  <si>
    <t>Art.16.3</t>
  </si>
  <si>
    <t>V48</t>
  </si>
  <si>
    <t>Continuidad de servicios básicos</t>
  </si>
  <si>
    <t>Art.19.5</t>
  </si>
  <si>
    <t>V49</t>
  </si>
  <si>
    <t>Transferencia del riesgo</t>
  </si>
  <si>
    <t>Art.19.8</t>
  </si>
  <si>
    <t>V50</t>
  </si>
  <si>
    <t>Rendición de cuentas anual</t>
  </si>
  <si>
    <t>Art.19.9</t>
  </si>
  <si>
    <t>Art.266</t>
  </si>
  <si>
    <t>V51</t>
  </si>
  <si>
    <t>Registro de instrumentos ante ente rector</t>
  </si>
  <si>
    <t>Art.19.10</t>
  </si>
  <si>
    <t>V52</t>
  </si>
  <si>
    <t>Participación ciudadana en GIRD</t>
  </si>
  <si>
    <t>Art.4.10</t>
  </si>
  <si>
    <t>Art.304</t>
  </si>
  <si>
    <t>V53</t>
  </si>
  <si>
    <t>Participación de universidades</t>
  </si>
  <si>
    <t>Art.18.9</t>
  </si>
  <si>
    <t>Art.5</t>
  </si>
  <si>
    <t>Art.144</t>
  </si>
  <si>
    <t>V54</t>
  </si>
  <si>
    <t>Participación de comunidades vulnerables</t>
  </si>
  <si>
    <t>Art.4.8</t>
  </si>
  <si>
    <t>Art.303</t>
  </si>
  <si>
    <t>V55</t>
  </si>
  <si>
    <t>Financiamiento anual en GIRD</t>
  </si>
  <si>
    <t>Art.19.7</t>
  </si>
  <si>
    <t>IDM–GIRD ajuatado</t>
  </si>
  <si>
    <t>I. Eventos hidrometeorológicos</t>
  </si>
  <si>
    <t>Inundaciones fluviales</t>
  </si>
  <si>
    <t>Inundaciones pluviales</t>
  </si>
  <si>
    <t>Inundaciones costeras</t>
  </si>
  <si>
    <t>Inundaciones por desbordamiento de lagunas</t>
  </si>
  <si>
    <t>Inundaciones por represamiento natural</t>
  </si>
  <si>
    <t>1. Inundaciones</t>
  </si>
  <si>
    <t>2. Movimientos en masa inducidos por lluvia</t>
  </si>
  <si>
    <t>Deslizamientos de suelo</t>
  </si>
  <si>
    <t>Deslizamientos rotacionales</t>
  </si>
  <si>
    <t>Deslizamientos traslacionales</t>
  </si>
  <si>
    <t>Derrumbes</t>
  </si>
  <si>
    <t>Caída de rocas</t>
  </si>
  <si>
    <t>Flujos de lodo</t>
  </si>
  <si>
    <t>Flujos de escombros</t>
  </si>
  <si>
    <t>Avalanchas de lodo</t>
  </si>
  <si>
    <t>Reptación de suelos</t>
  </si>
  <si>
    <t>3. Eventos asociados a precipitaciones intensas</t>
  </si>
  <si>
    <t>Lluvias torrenciales</t>
  </si>
  <si>
    <t>Precipitaciones extremas</t>
  </si>
  <si>
    <t>Granizadas</t>
  </si>
  <si>
    <t>Tormentas eléctricas</t>
  </si>
  <si>
    <t>Vendavales</t>
  </si>
  <si>
    <t>Turbonadas</t>
  </si>
  <si>
    <t>4. Eventos relacionados con déficit hídrico</t>
  </si>
  <si>
    <t>Sequías meteorológicas</t>
  </si>
  <si>
    <t>Sequías agrícolas</t>
  </si>
  <si>
    <t>Sequías hidrológicas</t>
  </si>
  <si>
    <t>5. Eventos costeros y marinos</t>
  </si>
  <si>
    <t>Oleajes anómalos</t>
  </si>
  <si>
    <t>Marejadas</t>
  </si>
  <si>
    <t>Erosión costera</t>
  </si>
  <si>
    <t>Intrusión salina</t>
  </si>
  <si>
    <t>Ascenso temporal del nivel del mar</t>
  </si>
  <si>
    <t>II. Eventos climáticos asociados a la variabilidad climática</t>
  </si>
  <si>
    <t>6. Fenómenos macroclimáticos</t>
  </si>
  <si>
    <r>
      <t xml:space="preserve">Episodios cálidos del fenómeno </t>
    </r>
    <r>
      <rPr>
        <b/>
        <sz val="11"/>
        <color theme="1"/>
        <rFont val="Calibri"/>
        <family val="2"/>
        <scheme val="minor"/>
      </rPr>
      <t>El Niño</t>
    </r>
  </si>
  <si>
    <r>
      <t xml:space="preserve">Episodios fríos del fenómeno </t>
    </r>
    <r>
      <rPr>
        <b/>
        <sz val="11"/>
        <color theme="1"/>
        <rFont val="Calibri"/>
        <family val="2"/>
        <scheme val="minor"/>
      </rPr>
      <t>La Niña</t>
    </r>
  </si>
  <si>
    <t>Oscilación del Sur (ENSO)</t>
  </si>
  <si>
    <t>7. Temperaturas extremas</t>
  </si>
  <si>
    <t>Olas de calor</t>
  </si>
  <si>
    <t>Olas de frío</t>
  </si>
  <si>
    <t>Heladas</t>
  </si>
  <si>
    <t>III. Eventos geológicos frecuentes en Ecuador</t>
  </si>
  <si>
    <t>8. Sismos</t>
  </si>
  <si>
    <t>Sismos</t>
  </si>
  <si>
    <t>9. Erupciones volcánicas</t>
  </si>
  <si>
    <t>Caída de ceniza</t>
  </si>
  <si>
    <t>Flujos piroclásticos</t>
  </si>
  <si>
    <t>Lahares</t>
  </si>
  <si>
    <t>Emisión de gases volcánicos</t>
  </si>
  <si>
    <t>10. Tsunamis</t>
  </si>
  <si>
    <t>Tsunamis</t>
  </si>
  <si>
    <t>IV. Eventos antrópicos y tecnológicos</t>
  </si>
  <si>
    <t>11. Incendios</t>
  </si>
  <si>
    <t>Incendios forestales</t>
  </si>
  <si>
    <t>Incendios estructurales</t>
  </si>
  <si>
    <t>Incendios industriales</t>
  </si>
  <si>
    <t>12. Accidentes tecnológicos</t>
  </si>
  <si>
    <t>Derrames de hidrocarburos</t>
  </si>
  <si>
    <t>Liberación de sustancias químicas peligrosas</t>
  </si>
  <si>
    <t>Explosiones industriales</t>
  </si>
  <si>
    <t>Evento</t>
  </si>
  <si>
    <t>Categoría</t>
  </si>
  <si>
    <t>Subcategoría</t>
  </si>
  <si>
    <t>EVENTO</t>
  </si>
  <si>
    <t>CATEGORÍA</t>
  </si>
  <si>
    <t>SUBCATEGORÍA</t>
  </si>
  <si>
    <t>AMENAZA</t>
  </si>
  <si>
    <t>VULNERABILIDAD</t>
  </si>
  <si>
    <t>EXPOSICIÓN</t>
  </si>
  <si>
    <t>MITIGACIÓN</t>
  </si>
  <si>
    <t>RIESGO</t>
  </si>
  <si>
    <t>COEFICIENTE</t>
  </si>
  <si>
    <t>CANTIDAD EN EL AÑO</t>
  </si>
  <si>
    <t>CTIi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</si>
</sst>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38BA1E-3EC5-4B26-B041-6A45F8352FB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AE58-56E0-4C9B-AA3D-4D2133F7F7C1}">
  <dimension ref="A1:P342"/>
  <sheetViews>
    <sheetView tabSelected="1" zoomScale="96" zoomScaleNormal="96" workbookViewId="0">
      <selection activeCell="A2" sqref="A2"/>
    </sheetView>
  </sheetViews>
  <sheetFormatPr baseColWidth="10" defaultRowHeight="15" x14ac:dyDescent="0.25"/>
  <cols>
    <col min="1" max="1" width="17.140625" style="4" customWidth="1"/>
    <col min="2" max="2" width="65.85546875" style="2" customWidth="1"/>
    <col min="3" max="3" width="3.42578125" style="3" customWidth="1"/>
    <col min="4" max="4" width="11.42578125" style="3"/>
    <col min="5" max="5" width="15.42578125" customWidth="1"/>
    <col min="6" max="6" width="27" customWidth="1"/>
    <col min="7" max="7" width="49.5703125" customWidth="1"/>
    <col min="8" max="8" width="45.140625" customWidth="1"/>
    <col min="9" max="9" width="24.85546875" customWidth="1"/>
    <col min="11" max="11" width="17.7109375" customWidth="1"/>
    <col min="12" max="12" width="13.7109375" customWidth="1"/>
    <col min="13" max="13" width="14" customWidth="1"/>
    <col min="15" max="15" width="14.28515625" customWidth="1"/>
  </cols>
  <sheetData>
    <row r="1" spans="1:16" x14ac:dyDescent="0.25">
      <c r="A1" s="8" t="s">
        <v>340</v>
      </c>
      <c r="B1" s="11" t="s">
        <v>339</v>
      </c>
      <c r="C1" s="18" t="s">
        <v>574</v>
      </c>
      <c r="D1" s="18"/>
      <c r="E1" s="15" t="s">
        <v>593</v>
      </c>
      <c r="F1" s="15" t="s">
        <v>594</v>
      </c>
      <c r="G1" s="15" t="s">
        <v>770</v>
      </c>
    </row>
    <row r="2" spans="1:16" x14ac:dyDescent="0.25">
      <c r="A2" s="7" t="s">
        <v>555</v>
      </c>
      <c r="B2" s="12" t="str">
        <f>+VLOOKUP(Hoja1!A2,Hoja2!D1:E220,2,FALSE)</f>
        <v>Tungurahua</v>
      </c>
      <c r="C2" s="18" t="s">
        <v>576</v>
      </c>
      <c r="D2" s="18"/>
      <c r="E2" s="15">
        <f>+ROUND((C4^Hoja2!M2)*(C41^Hoja2!M3)*(C102^Hoja2!M4)*(C139^Hoja2!M5)*(C170^Hoja2!M7)*(C231^Hoja2!M7)*(C268^Hoja2!M8)*(C299^Hoja2!M9)*(C318^Hoja2!M10),3)</f>
        <v>0.22</v>
      </c>
      <c r="F2" s="8">
        <f>0.8+0.4*SUM(P5:P21)</f>
        <v>1.0188301886792455</v>
      </c>
      <c r="G2" s="11">
        <f>+E2*F2</f>
        <v>0.224142641509434</v>
      </c>
    </row>
    <row r="4" spans="1:16" x14ac:dyDescent="0.25">
      <c r="B4" s="13" t="s">
        <v>20</v>
      </c>
      <c r="C4" s="18">
        <f>+((D6+D12+D18+D24+D30+D36)/6)/10</f>
        <v>0.21999999999999997</v>
      </c>
      <c r="D4" s="18"/>
      <c r="F4" s="11" t="s">
        <v>836</v>
      </c>
      <c r="G4" s="11" t="s">
        <v>837</v>
      </c>
      <c r="H4" s="11" t="s">
        <v>838</v>
      </c>
      <c r="I4" s="15" t="s">
        <v>845</v>
      </c>
      <c r="J4" s="15" t="s">
        <v>839</v>
      </c>
      <c r="K4" s="15" t="s">
        <v>840</v>
      </c>
      <c r="L4" s="15" t="s">
        <v>841</v>
      </c>
      <c r="M4" s="15" t="s">
        <v>842</v>
      </c>
      <c r="N4" s="15" t="s">
        <v>843</v>
      </c>
      <c r="O4" s="15" t="s">
        <v>844</v>
      </c>
      <c r="P4" s="15" t="s">
        <v>846</v>
      </c>
    </row>
    <row r="5" spans="1:16" x14ac:dyDescent="0.25">
      <c r="B5" s="20" t="s">
        <v>0</v>
      </c>
      <c r="C5" s="20"/>
      <c r="D5" s="20"/>
      <c r="F5" s="16" t="s">
        <v>772</v>
      </c>
      <c r="G5" s="11" t="str">
        <f>+IF(F5="","",VLOOKUP(Hoja1!$F5,Hoja2!$P$1:$R$47,3,FALSE))</f>
        <v>I. Eventos hidrometeorológicos</v>
      </c>
      <c r="H5" s="11" t="str">
        <f>+IF(F5="","",VLOOKUP(Hoja1!F5,Hoja2!$P$1:$R$47,2,FALSE))</f>
        <v>1. Inundaciones</v>
      </c>
      <c r="I5" s="16">
        <v>13</v>
      </c>
      <c r="J5" s="16">
        <v>4</v>
      </c>
      <c r="K5" s="16">
        <v>3</v>
      </c>
      <c r="L5" s="16">
        <v>5</v>
      </c>
      <c r="M5" s="16">
        <v>4</v>
      </c>
      <c r="N5" s="11">
        <f>+IF(F5="","",(J5*K5*L5/M5)/1000)</f>
        <v>1.4999999999999999E-2</v>
      </c>
      <c r="O5" s="11">
        <f>+IF(F5="","",I5/SUM($I$5:$I$21))</f>
        <v>0.24528301886792453</v>
      </c>
      <c r="P5" s="11">
        <f>+IF(F5="","",N5*O5)</f>
        <v>3.6792452830188677E-3</v>
      </c>
    </row>
    <row r="6" spans="1:16" ht="30" x14ac:dyDescent="0.25">
      <c r="A6" s="19"/>
      <c r="B6" s="6" t="s">
        <v>21</v>
      </c>
      <c r="C6" s="7">
        <v>1</v>
      </c>
      <c r="D6" s="22">
        <f>+AVERAGE(C6:C10)</f>
        <v>2.2000000000000002</v>
      </c>
      <c r="F6" s="16" t="s">
        <v>779</v>
      </c>
      <c r="G6" s="11" t="str">
        <f>+IF(F6="","",VLOOKUP(Hoja1!$F6,Hoja2!$P$1:$R$47,3,FALSE))</f>
        <v>I. Eventos hidrometeorológicos</v>
      </c>
      <c r="H6" s="11" t="str">
        <f>+IF(F6="","",VLOOKUP(Hoja1!F6,Hoja2!$P$1:$R$47,2,FALSE))</f>
        <v>2. Movimientos en masa inducidos por lluvia</v>
      </c>
      <c r="I6" s="16">
        <v>40</v>
      </c>
      <c r="J6" s="16">
        <v>9</v>
      </c>
      <c r="K6" s="16">
        <v>8</v>
      </c>
      <c r="L6" s="16">
        <v>10</v>
      </c>
      <c r="M6" s="16">
        <v>1</v>
      </c>
      <c r="N6" s="11">
        <f t="shared" ref="N6:N21" si="0">+IF(F6="","",(J6*K6*L6/M6)/1000)</f>
        <v>0.72</v>
      </c>
      <c r="O6" s="11">
        <f t="shared" ref="O6:O21" si="1">+IF(F6="","",I6/SUM($I$5:$I$21))</f>
        <v>0.75471698113207553</v>
      </c>
      <c r="P6" s="11">
        <f t="shared" ref="P6:P21" si="2">+IF(F6="","",N6*O6)</f>
        <v>0.54339622641509433</v>
      </c>
    </row>
    <row r="7" spans="1:16" ht="30" x14ac:dyDescent="0.25">
      <c r="A7" s="19"/>
      <c r="B7" s="6" t="s">
        <v>22</v>
      </c>
      <c r="C7" s="7">
        <v>3</v>
      </c>
      <c r="D7" s="22"/>
      <c r="F7" s="16"/>
      <c r="G7" s="11" t="str">
        <f>+IF(F7="","",VLOOKUP(Hoja1!$F7,Hoja2!$P$1:$R$47,3,FALSE))</f>
        <v/>
      </c>
      <c r="H7" s="11" t="str">
        <f>+IF(F7="","",VLOOKUP(Hoja1!F7,Hoja2!$P$1:$R$47,2,FALSE))</f>
        <v/>
      </c>
      <c r="I7" s="16"/>
      <c r="J7" s="16"/>
      <c r="K7" s="16"/>
      <c r="L7" s="16"/>
      <c r="M7" s="16"/>
      <c r="N7" s="11" t="str">
        <f t="shared" si="0"/>
        <v/>
      </c>
      <c r="O7" s="11" t="str">
        <f t="shared" si="1"/>
        <v/>
      </c>
      <c r="P7" s="11" t="str">
        <f t="shared" si="2"/>
        <v/>
      </c>
    </row>
    <row r="8" spans="1:16" ht="30" x14ac:dyDescent="0.25">
      <c r="A8" s="19"/>
      <c r="B8" s="6" t="s">
        <v>23</v>
      </c>
      <c r="C8" s="7">
        <v>1</v>
      </c>
      <c r="D8" s="22"/>
      <c r="F8" s="16"/>
      <c r="G8" s="11" t="str">
        <f>+IF(F8="","",VLOOKUP(Hoja1!$F8,Hoja2!$P$1:$R$47,3,FALSE))</f>
        <v/>
      </c>
      <c r="H8" s="11" t="str">
        <f>+IF(F8="","",VLOOKUP(Hoja1!F8,Hoja2!$P$1:$R$47,2,FALSE))</f>
        <v/>
      </c>
      <c r="I8" s="16"/>
      <c r="J8" s="16"/>
      <c r="K8" s="16"/>
      <c r="L8" s="16"/>
      <c r="M8" s="16"/>
      <c r="N8" s="11" t="str">
        <f t="shared" si="0"/>
        <v/>
      </c>
      <c r="O8" s="11" t="str">
        <f t="shared" si="1"/>
        <v/>
      </c>
      <c r="P8" s="11" t="str">
        <f t="shared" si="2"/>
        <v/>
      </c>
    </row>
    <row r="9" spans="1:16" ht="30" x14ac:dyDescent="0.25">
      <c r="A9" s="19"/>
      <c r="B9" s="6" t="s">
        <v>24</v>
      </c>
      <c r="C9" s="7">
        <v>3</v>
      </c>
      <c r="D9" s="22"/>
      <c r="F9" s="16"/>
      <c r="G9" s="11" t="str">
        <f>+IF(F9="","",VLOOKUP(Hoja1!$F9,Hoja2!$P$1:$R$47,3,FALSE))</f>
        <v/>
      </c>
      <c r="H9" s="11" t="str">
        <f>+IF(F9="","",VLOOKUP(Hoja1!F9,Hoja2!$P$1:$R$47,2,FALSE))</f>
        <v/>
      </c>
      <c r="I9" s="16"/>
      <c r="J9" s="16"/>
      <c r="K9" s="16"/>
      <c r="L9" s="16"/>
      <c r="M9" s="16"/>
      <c r="N9" s="11" t="str">
        <f t="shared" si="0"/>
        <v/>
      </c>
      <c r="O9" s="11" t="str">
        <f t="shared" si="1"/>
        <v/>
      </c>
      <c r="P9" s="11" t="str">
        <f t="shared" si="2"/>
        <v/>
      </c>
    </row>
    <row r="10" spans="1:16" ht="30" x14ac:dyDescent="0.25">
      <c r="A10" s="19"/>
      <c r="B10" s="6" t="s">
        <v>25</v>
      </c>
      <c r="C10" s="7">
        <v>3</v>
      </c>
      <c r="D10" s="22"/>
      <c r="F10" s="16"/>
      <c r="G10" s="11" t="str">
        <f>+IF(F10="","",VLOOKUP(Hoja1!$F10,Hoja2!$P$1:$R$47,3,FALSE))</f>
        <v/>
      </c>
      <c r="H10" s="11" t="str">
        <f>+IF(F10="","",VLOOKUP(Hoja1!F10,Hoja2!$P$1:$R$47,2,FALSE))</f>
        <v/>
      </c>
      <c r="I10" s="16"/>
      <c r="J10" s="16"/>
      <c r="K10" s="16"/>
      <c r="L10" s="16"/>
      <c r="M10" s="16"/>
      <c r="N10" s="11" t="str">
        <f t="shared" si="0"/>
        <v/>
      </c>
      <c r="O10" s="11" t="str">
        <f t="shared" si="1"/>
        <v/>
      </c>
      <c r="P10" s="11" t="str">
        <f t="shared" si="2"/>
        <v/>
      </c>
    </row>
    <row r="11" spans="1:16" x14ac:dyDescent="0.25">
      <c r="B11" s="20" t="s">
        <v>1</v>
      </c>
      <c r="C11" s="20"/>
      <c r="D11" s="20"/>
      <c r="F11" s="16"/>
      <c r="G11" s="11" t="str">
        <f>+IF(F11="","",VLOOKUP(Hoja1!$F11,Hoja2!$P$1:$R$47,3,FALSE))</f>
        <v/>
      </c>
      <c r="H11" s="11" t="str">
        <f>+IF(F11="","",VLOOKUP(Hoja1!F11,Hoja2!$P$1:$R$47,2,FALSE))</f>
        <v/>
      </c>
      <c r="I11" s="16"/>
      <c r="J11" s="16"/>
      <c r="K11" s="16"/>
      <c r="L11" s="16"/>
      <c r="M11" s="16"/>
      <c r="N11" s="11" t="str">
        <f t="shared" si="0"/>
        <v/>
      </c>
      <c r="O11" s="11" t="str">
        <f t="shared" si="1"/>
        <v/>
      </c>
      <c r="P11" s="11" t="str">
        <f t="shared" si="2"/>
        <v/>
      </c>
    </row>
    <row r="12" spans="1:16" ht="30" x14ac:dyDescent="0.25">
      <c r="B12" s="6" t="s">
        <v>26</v>
      </c>
      <c r="C12" s="7">
        <v>1</v>
      </c>
      <c r="D12" s="18">
        <f>+AVERAGE(C12:C16)</f>
        <v>2.2000000000000002</v>
      </c>
      <c r="F12" s="16"/>
      <c r="G12" s="11" t="str">
        <f>+IF(F12="","",VLOOKUP(Hoja1!$F12,Hoja2!$P$1:$R$47,3,FALSE))</f>
        <v/>
      </c>
      <c r="H12" s="11" t="str">
        <f>+IF(F12="","",VLOOKUP(Hoja1!F12,Hoja2!$P$1:$R$47,2,FALSE))</f>
        <v/>
      </c>
      <c r="I12" s="16"/>
      <c r="J12" s="16"/>
      <c r="K12" s="16"/>
      <c r="L12" s="16"/>
      <c r="M12" s="16"/>
      <c r="N12" s="11" t="str">
        <f t="shared" si="0"/>
        <v/>
      </c>
      <c r="O12" s="11" t="str">
        <f t="shared" si="1"/>
        <v/>
      </c>
      <c r="P12" s="11" t="str">
        <f t="shared" si="2"/>
        <v/>
      </c>
    </row>
    <row r="13" spans="1:16" ht="30" x14ac:dyDescent="0.25">
      <c r="B13" s="6" t="s">
        <v>27</v>
      </c>
      <c r="C13" s="7">
        <v>3</v>
      </c>
      <c r="D13" s="18"/>
      <c r="F13" s="16"/>
      <c r="G13" s="11" t="str">
        <f>+IF(F13="","",VLOOKUP(Hoja1!$F13,Hoja2!$P$1:$R$47,3,FALSE))</f>
        <v/>
      </c>
      <c r="H13" s="11" t="str">
        <f>+IF(F13="","",VLOOKUP(Hoja1!F13,Hoja2!$P$1:$R$47,2,FALSE))</f>
        <v/>
      </c>
      <c r="I13" s="16"/>
      <c r="J13" s="16"/>
      <c r="K13" s="16"/>
      <c r="L13" s="16"/>
      <c r="M13" s="16"/>
      <c r="N13" s="11" t="str">
        <f t="shared" si="0"/>
        <v/>
      </c>
      <c r="O13" s="11" t="str">
        <f t="shared" si="1"/>
        <v/>
      </c>
      <c r="P13" s="11" t="str">
        <f t="shared" si="2"/>
        <v/>
      </c>
    </row>
    <row r="14" spans="1:16" x14ac:dyDescent="0.25">
      <c r="B14" s="6" t="s">
        <v>28</v>
      </c>
      <c r="C14" s="7">
        <v>1</v>
      </c>
      <c r="D14" s="18"/>
      <c r="F14" s="16"/>
      <c r="G14" s="11" t="str">
        <f>+IF(F14="","",VLOOKUP(Hoja1!$F14,Hoja2!$P$1:$R$47,3,FALSE))</f>
        <v/>
      </c>
      <c r="H14" s="11" t="str">
        <f>+IF(F14="","",VLOOKUP(Hoja1!F14,Hoja2!$P$1:$R$47,2,FALSE))</f>
        <v/>
      </c>
      <c r="I14" s="16"/>
      <c r="J14" s="16"/>
      <c r="K14" s="16"/>
      <c r="L14" s="16"/>
      <c r="M14" s="16"/>
      <c r="N14" s="11" t="str">
        <f t="shared" si="0"/>
        <v/>
      </c>
      <c r="O14" s="11" t="str">
        <f t="shared" si="1"/>
        <v/>
      </c>
      <c r="P14" s="11" t="str">
        <f t="shared" si="2"/>
        <v/>
      </c>
    </row>
    <row r="15" spans="1:16" ht="30" x14ac:dyDescent="0.25">
      <c r="B15" s="6" t="s">
        <v>29</v>
      </c>
      <c r="C15" s="7">
        <v>3</v>
      </c>
      <c r="D15" s="18"/>
      <c r="F15" s="16"/>
      <c r="G15" s="11" t="str">
        <f>+IF(F15="","",VLOOKUP(Hoja1!$F15,Hoja2!$P$1:$R$47,3,FALSE))</f>
        <v/>
      </c>
      <c r="H15" s="11" t="str">
        <f>+IF(F15="","",VLOOKUP(Hoja1!F15,Hoja2!$P$1:$R$47,2,FALSE))</f>
        <v/>
      </c>
      <c r="I15" s="16"/>
      <c r="J15" s="16"/>
      <c r="K15" s="16"/>
      <c r="L15" s="16"/>
      <c r="M15" s="16"/>
      <c r="N15" s="11" t="str">
        <f t="shared" si="0"/>
        <v/>
      </c>
      <c r="O15" s="11" t="str">
        <f t="shared" si="1"/>
        <v/>
      </c>
      <c r="P15" s="11" t="str">
        <f t="shared" si="2"/>
        <v/>
      </c>
    </row>
    <row r="16" spans="1:16" ht="30" x14ac:dyDescent="0.25">
      <c r="B16" s="6" t="s">
        <v>30</v>
      </c>
      <c r="C16" s="7">
        <v>3</v>
      </c>
      <c r="D16" s="18"/>
      <c r="F16" s="16"/>
      <c r="G16" s="11" t="str">
        <f>+IF(F16="","",VLOOKUP(Hoja1!$F16,Hoja2!$P$1:$R$47,3,FALSE))</f>
        <v/>
      </c>
      <c r="H16" s="11" t="str">
        <f>+IF(F16="","",VLOOKUP(Hoja1!F16,Hoja2!$P$1:$R$47,2,FALSE))</f>
        <v/>
      </c>
      <c r="I16" s="16"/>
      <c r="J16" s="16"/>
      <c r="K16" s="16"/>
      <c r="L16" s="16"/>
      <c r="M16" s="16"/>
      <c r="N16" s="11" t="str">
        <f t="shared" si="0"/>
        <v/>
      </c>
      <c r="O16" s="11" t="str">
        <f t="shared" si="1"/>
        <v/>
      </c>
      <c r="P16" s="11" t="str">
        <f t="shared" si="2"/>
        <v/>
      </c>
    </row>
    <row r="17" spans="2:16" x14ac:dyDescent="0.25">
      <c r="B17" s="21" t="s">
        <v>2</v>
      </c>
      <c r="C17" s="21"/>
      <c r="D17" s="21"/>
      <c r="F17" s="16"/>
      <c r="G17" s="11" t="str">
        <f>+IF(F17="","",VLOOKUP(Hoja1!$F17,Hoja2!$P$1:$R$47,3,FALSE))</f>
        <v/>
      </c>
      <c r="H17" s="11" t="str">
        <f>+IF(F17="","",VLOOKUP(Hoja1!F17,Hoja2!$P$1:$R$47,2,FALSE))</f>
        <v/>
      </c>
      <c r="I17" s="16"/>
      <c r="J17" s="16"/>
      <c r="K17" s="16"/>
      <c r="L17" s="16"/>
      <c r="M17" s="16"/>
      <c r="N17" s="11" t="str">
        <f t="shared" si="0"/>
        <v/>
      </c>
      <c r="O17" s="11" t="str">
        <f t="shared" si="1"/>
        <v/>
      </c>
      <c r="P17" s="11" t="str">
        <f t="shared" si="2"/>
        <v/>
      </c>
    </row>
    <row r="18" spans="2:16" ht="30" x14ac:dyDescent="0.25">
      <c r="B18" s="6" t="s">
        <v>31</v>
      </c>
      <c r="C18" s="7">
        <v>1</v>
      </c>
      <c r="D18" s="18">
        <f>+AVERAGE(C18:C22)</f>
        <v>2.2000000000000002</v>
      </c>
      <c r="F18" s="16"/>
      <c r="G18" s="11" t="str">
        <f>+IF(F18="","",VLOOKUP(Hoja1!$F18,Hoja2!$P$1:$R$47,3,FALSE))</f>
        <v/>
      </c>
      <c r="H18" s="11" t="str">
        <f>+IF(F18="","",VLOOKUP(Hoja1!F18,Hoja2!$P$1:$R$47,2,FALSE))</f>
        <v/>
      </c>
      <c r="I18" s="16"/>
      <c r="J18" s="16"/>
      <c r="K18" s="16"/>
      <c r="L18" s="16"/>
      <c r="M18" s="16"/>
      <c r="N18" s="11" t="str">
        <f t="shared" si="0"/>
        <v/>
      </c>
      <c r="O18" s="11" t="str">
        <f t="shared" si="1"/>
        <v/>
      </c>
      <c r="P18" s="11" t="str">
        <f t="shared" si="2"/>
        <v/>
      </c>
    </row>
    <row r="19" spans="2:16" ht="30" x14ac:dyDescent="0.25">
      <c r="B19" s="6" t="s">
        <v>32</v>
      </c>
      <c r="C19" s="7">
        <v>3</v>
      </c>
      <c r="D19" s="18"/>
      <c r="F19" s="16"/>
      <c r="G19" s="11" t="str">
        <f>+IF(F19="","",VLOOKUP(Hoja1!$F19,Hoja2!$P$1:$R$47,3,FALSE))</f>
        <v/>
      </c>
      <c r="H19" s="11" t="str">
        <f>+IF(F19="","",VLOOKUP(Hoja1!F19,Hoja2!$P$1:$R$47,2,FALSE))</f>
        <v/>
      </c>
      <c r="I19" s="16"/>
      <c r="J19" s="16"/>
      <c r="K19" s="16"/>
      <c r="L19" s="16"/>
      <c r="M19" s="16"/>
      <c r="N19" s="11" t="str">
        <f t="shared" si="0"/>
        <v/>
      </c>
      <c r="O19" s="11" t="str">
        <f t="shared" si="1"/>
        <v/>
      </c>
      <c r="P19" s="11" t="str">
        <f t="shared" si="2"/>
        <v/>
      </c>
    </row>
    <row r="20" spans="2:16" x14ac:dyDescent="0.25">
      <c r="B20" s="6" t="s">
        <v>33</v>
      </c>
      <c r="C20" s="7">
        <v>1</v>
      </c>
      <c r="D20" s="18"/>
      <c r="F20" s="16"/>
      <c r="G20" s="11" t="str">
        <f>+IF(F20="","",VLOOKUP(Hoja1!$F20,Hoja2!$P$1:$R$47,3,FALSE))</f>
        <v/>
      </c>
      <c r="H20" s="11" t="str">
        <f>+IF(F20="","",VLOOKUP(Hoja1!F20,Hoja2!$P$1:$R$47,2,FALSE))</f>
        <v/>
      </c>
      <c r="I20" s="16"/>
      <c r="J20" s="16"/>
      <c r="K20" s="16"/>
      <c r="L20" s="16"/>
      <c r="M20" s="16"/>
      <c r="N20" s="11" t="str">
        <f t="shared" si="0"/>
        <v/>
      </c>
      <c r="O20" s="11" t="str">
        <f t="shared" si="1"/>
        <v/>
      </c>
      <c r="P20" s="11" t="str">
        <f t="shared" si="2"/>
        <v/>
      </c>
    </row>
    <row r="21" spans="2:16" x14ac:dyDescent="0.25">
      <c r="B21" s="6" t="s">
        <v>3</v>
      </c>
      <c r="C21" s="7">
        <v>3</v>
      </c>
      <c r="D21" s="18"/>
      <c r="F21" s="16"/>
      <c r="G21" s="11" t="str">
        <f>+IF(F21="","",VLOOKUP(Hoja1!$F21,Hoja2!$P$1:$R$47,3,FALSE))</f>
        <v/>
      </c>
      <c r="H21" s="11" t="str">
        <f>+IF(F21="","",VLOOKUP(Hoja1!F21,Hoja2!$P$1:$R$47,2,FALSE))</f>
        <v/>
      </c>
      <c r="I21" s="16"/>
      <c r="J21" s="16"/>
      <c r="K21" s="16"/>
      <c r="L21" s="16"/>
      <c r="M21" s="16"/>
      <c r="N21" s="11" t="str">
        <f t="shared" si="0"/>
        <v/>
      </c>
      <c r="O21" s="11" t="str">
        <f t="shared" si="1"/>
        <v/>
      </c>
      <c r="P21" s="11" t="str">
        <f t="shared" si="2"/>
        <v/>
      </c>
    </row>
    <row r="22" spans="2:16" ht="30" x14ac:dyDescent="0.25">
      <c r="B22" s="6" t="s">
        <v>4</v>
      </c>
      <c r="C22" s="7">
        <v>3</v>
      </c>
      <c r="D22" s="18"/>
    </row>
    <row r="23" spans="2:16" x14ac:dyDescent="0.25">
      <c r="B23" s="20" t="s">
        <v>34</v>
      </c>
      <c r="C23" s="20"/>
      <c r="D23" s="20"/>
    </row>
    <row r="24" spans="2:16" x14ac:dyDescent="0.25">
      <c r="B24" s="6" t="s">
        <v>35</v>
      </c>
      <c r="C24" s="7">
        <v>1</v>
      </c>
      <c r="D24" s="18">
        <f>+AVERAGE(C24:C28)</f>
        <v>2.2000000000000002</v>
      </c>
    </row>
    <row r="25" spans="2:16" x14ac:dyDescent="0.25">
      <c r="B25" s="6" t="s">
        <v>36</v>
      </c>
      <c r="C25" s="7">
        <v>3</v>
      </c>
      <c r="D25" s="18"/>
    </row>
    <row r="26" spans="2:16" x14ac:dyDescent="0.25">
      <c r="B26" s="6" t="s">
        <v>37</v>
      </c>
      <c r="C26" s="7">
        <v>1</v>
      </c>
      <c r="D26" s="18"/>
    </row>
    <row r="27" spans="2:16" x14ac:dyDescent="0.25">
      <c r="B27" s="6" t="s">
        <v>38</v>
      </c>
      <c r="C27" s="7">
        <v>3</v>
      </c>
      <c r="D27" s="18"/>
    </row>
    <row r="28" spans="2:16" ht="15" customHeight="1" x14ac:dyDescent="0.25">
      <c r="B28" s="6" t="s">
        <v>39</v>
      </c>
      <c r="C28" s="7">
        <v>3</v>
      </c>
      <c r="D28" s="18"/>
    </row>
    <row r="29" spans="2:16" x14ac:dyDescent="0.25">
      <c r="B29" s="20" t="s">
        <v>5</v>
      </c>
      <c r="C29" s="20"/>
      <c r="D29" s="20"/>
    </row>
    <row r="30" spans="2:16" x14ac:dyDescent="0.25">
      <c r="B30" s="6" t="s">
        <v>40</v>
      </c>
      <c r="C30" s="7">
        <v>1</v>
      </c>
      <c r="D30" s="18">
        <f>+AVERAGE(C30:C34)</f>
        <v>2.2000000000000002</v>
      </c>
    </row>
    <row r="31" spans="2:16" x14ac:dyDescent="0.25">
      <c r="B31" s="6" t="s">
        <v>41</v>
      </c>
      <c r="C31" s="7">
        <v>3</v>
      </c>
      <c r="D31" s="18"/>
    </row>
    <row r="32" spans="2:16" x14ac:dyDescent="0.25">
      <c r="B32" s="6" t="s">
        <v>42</v>
      </c>
      <c r="C32" s="7">
        <v>1</v>
      </c>
      <c r="D32" s="18"/>
    </row>
    <row r="33" spans="2:4" x14ac:dyDescent="0.25">
      <c r="B33" s="6" t="s">
        <v>43</v>
      </c>
      <c r="C33" s="7">
        <v>3</v>
      </c>
      <c r="D33" s="18"/>
    </row>
    <row r="34" spans="2:4" ht="30" customHeight="1" x14ac:dyDescent="0.25">
      <c r="B34" s="6" t="s">
        <v>6</v>
      </c>
      <c r="C34" s="7">
        <v>3</v>
      </c>
      <c r="D34" s="18"/>
    </row>
    <row r="35" spans="2:4" x14ac:dyDescent="0.25">
      <c r="B35" s="21" t="s">
        <v>7</v>
      </c>
      <c r="C35" s="21"/>
      <c r="D35" s="21"/>
    </row>
    <row r="36" spans="2:4" x14ac:dyDescent="0.25">
      <c r="B36" s="6" t="s">
        <v>44</v>
      </c>
      <c r="C36" s="7">
        <v>1</v>
      </c>
      <c r="D36" s="18">
        <f>+AVERAGE(C36:C40)</f>
        <v>2.2000000000000002</v>
      </c>
    </row>
    <row r="37" spans="2:4" x14ac:dyDescent="0.25">
      <c r="B37" s="6" t="s">
        <v>45</v>
      </c>
      <c r="C37" s="7">
        <v>3</v>
      </c>
      <c r="D37" s="18"/>
    </row>
    <row r="38" spans="2:4" x14ac:dyDescent="0.25">
      <c r="B38" s="6" t="s">
        <v>46</v>
      </c>
      <c r="C38" s="7">
        <v>1</v>
      </c>
      <c r="D38" s="18"/>
    </row>
    <row r="39" spans="2:4" x14ac:dyDescent="0.25">
      <c r="B39" s="6" t="s">
        <v>47</v>
      </c>
      <c r="C39" s="7">
        <v>3</v>
      </c>
      <c r="D39" s="18"/>
    </row>
    <row r="40" spans="2:4" x14ac:dyDescent="0.25">
      <c r="B40" s="6" t="s">
        <v>48</v>
      </c>
      <c r="C40" s="7">
        <v>3</v>
      </c>
      <c r="D40" s="18"/>
    </row>
    <row r="41" spans="2:4" x14ac:dyDescent="0.25">
      <c r="B41" s="13" t="s">
        <v>49</v>
      </c>
      <c r="C41" s="17">
        <f>+((D43+D49+D55+D61+D67+D73+D79+D85+D91+D97)/10)/10</f>
        <v>0.21999999999999997</v>
      </c>
      <c r="D41" s="17"/>
    </row>
    <row r="42" spans="2:4" x14ac:dyDescent="0.25">
      <c r="B42" s="20" t="s">
        <v>8</v>
      </c>
      <c r="C42" s="20"/>
      <c r="D42" s="20"/>
    </row>
    <row r="43" spans="2:4" x14ac:dyDescent="0.25">
      <c r="B43" s="6" t="s">
        <v>9</v>
      </c>
      <c r="C43" s="7">
        <v>1</v>
      </c>
      <c r="D43" s="18">
        <f>+AVERAGE(C43:C47)</f>
        <v>2.2000000000000002</v>
      </c>
    </row>
    <row r="44" spans="2:4" x14ac:dyDescent="0.25">
      <c r="B44" s="6" t="s">
        <v>10</v>
      </c>
      <c r="C44" s="7">
        <v>3</v>
      </c>
      <c r="D44" s="18"/>
    </row>
    <row r="45" spans="2:4" x14ac:dyDescent="0.25">
      <c r="B45" s="6" t="s">
        <v>11</v>
      </c>
      <c r="C45" s="7">
        <v>1</v>
      </c>
      <c r="D45" s="18"/>
    </row>
    <row r="46" spans="2:4" x14ac:dyDescent="0.25">
      <c r="B46" s="6" t="s">
        <v>12</v>
      </c>
      <c r="C46" s="7">
        <v>3</v>
      </c>
      <c r="D46" s="18"/>
    </row>
    <row r="47" spans="2:4" x14ac:dyDescent="0.25">
      <c r="B47" s="6" t="s">
        <v>13</v>
      </c>
      <c r="C47" s="7">
        <v>3</v>
      </c>
      <c r="D47" s="18"/>
    </row>
    <row r="48" spans="2:4" x14ac:dyDescent="0.25">
      <c r="B48" s="20" t="s">
        <v>14</v>
      </c>
      <c r="C48" s="20"/>
      <c r="D48" s="20"/>
    </row>
    <row r="49" spans="2:4" x14ac:dyDescent="0.25">
      <c r="B49" s="6" t="s">
        <v>15</v>
      </c>
      <c r="C49" s="7">
        <v>1</v>
      </c>
      <c r="D49" s="18">
        <f>+AVERAGE(C49:C53)</f>
        <v>2.2000000000000002</v>
      </c>
    </row>
    <row r="50" spans="2:4" x14ac:dyDescent="0.25">
      <c r="B50" s="6" t="s">
        <v>16</v>
      </c>
      <c r="C50" s="7">
        <v>3</v>
      </c>
      <c r="D50" s="18"/>
    </row>
    <row r="51" spans="2:4" x14ac:dyDescent="0.25">
      <c r="B51" s="6" t="s">
        <v>17</v>
      </c>
      <c r="C51" s="7">
        <v>1</v>
      </c>
      <c r="D51" s="18"/>
    </row>
    <row r="52" spans="2:4" x14ac:dyDescent="0.25">
      <c r="B52" s="6" t="s">
        <v>18</v>
      </c>
      <c r="C52" s="7">
        <v>3</v>
      </c>
      <c r="D52" s="18"/>
    </row>
    <row r="53" spans="2:4" x14ac:dyDescent="0.25">
      <c r="B53" s="6" t="s">
        <v>19</v>
      </c>
      <c r="C53" s="7">
        <v>3</v>
      </c>
      <c r="D53" s="18"/>
    </row>
    <row r="54" spans="2:4" x14ac:dyDescent="0.25">
      <c r="B54" s="20" t="s">
        <v>50</v>
      </c>
      <c r="C54" s="20"/>
      <c r="D54" s="20"/>
    </row>
    <row r="55" spans="2:4" x14ac:dyDescent="0.25">
      <c r="B55" s="6" t="s">
        <v>51</v>
      </c>
      <c r="C55" s="7">
        <v>1</v>
      </c>
      <c r="D55" s="18">
        <f>+AVERAGE(C55:C59)</f>
        <v>2.2000000000000002</v>
      </c>
    </row>
    <row r="56" spans="2:4" x14ac:dyDescent="0.25">
      <c r="B56" s="6" t="s">
        <v>52</v>
      </c>
      <c r="C56" s="7">
        <v>3</v>
      </c>
      <c r="D56" s="18"/>
    </row>
    <row r="57" spans="2:4" x14ac:dyDescent="0.25">
      <c r="B57" s="6" t="s">
        <v>53</v>
      </c>
      <c r="C57" s="7">
        <v>1</v>
      </c>
      <c r="D57" s="18"/>
    </row>
    <row r="58" spans="2:4" x14ac:dyDescent="0.25">
      <c r="B58" s="6" t="s">
        <v>54</v>
      </c>
      <c r="C58" s="7">
        <v>3</v>
      </c>
      <c r="D58" s="18"/>
    </row>
    <row r="59" spans="2:4" x14ac:dyDescent="0.25">
      <c r="B59" s="6" t="s">
        <v>55</v>
      </c>
      <c r="C59" s="7">
        <v>3</v>
      </c>
      <c r="D59" s="18"/>
    </row>
    <row r="60" spans="2:4" x14ac:dyDescent="0.25">
      <c r="B60" s="20" t="s">
        <v>56</v>
      </c>
      <c r="C60" s="20"/>
      <c r="D60" s="20"/>
    </row>
    <row r="61" spans="2:4" x14ac:dyDescent="0.25">
      <c r="B61" s="6" t="s">
        <v>57</v>
      </c>
      <c r="C61" s="7">
        <v>1</v>
      </c>
      <c r="D61" s="18">
        <f>+AVERAGE(C61:C65)</f>
        <v>2.2000000000000002</v>
      </c>
    </row>
    <row r="62" spans="2:4" x14ac:dyDescent="0.25">
      <c r="B62" s="6" t="s">
        <v>58</v>
      </c>
      <c r="C62" s="7">
        <v>3</v>
      </c>
      <c r="D62" s="18"/>
    </row>
    <row r="63" spans="2:4" x14ac:dyDescent="0.25">
      <c r="B63" s="6" t="s">
        <v>59</v>
      </c>
      <c r="C63" s="7">
        <v>1</v>
      </c>
      <c r="D63" s="18"/>
    </row>
    <row r="64" spans="2:4" x14ac:dyDescent="0.25">
      <c r="B64" s="6" t="s">
        <v>60</v>
      </c>
      <c r="C64" s="7">
        <v>3</v>
      </c>
      <c r="D64" s="18"/>
    </row>
    <row r="65" spans="2:4" x14ac:dyDescent="0.25">
      <c r="B65" s="6" t="s">
        <v>61</v>
      </c>
      <c r="C65" s="7">
        <v>3</v>
      </c>
      <c r="D65" s="18"/>
    </row>
    <row r="66" spans="2:4" x14ac:dyDescent="0.25">
      <c r="B66" s="20" t="s">
        <v>62</v>
      </c>
      <c r="C66" s="20"/>
      <c r="D66" s="20"/>
    </row>
    <row r="67" spans="2:4" x14ac:dyDescent="0.25">
      <c r="B67" s="6" t="s">
        <v>63</v>
      </c>
      <c r="C67" s="7">
        <v>1</v>
      </c>
      <c r="D67" s="18">
        <f>+AVERAGE(C67:C71)</f>
        <v>2.2000000000000002</v>
      </c>
    </row>
    <row r="68" spans="2:4" x14ac:dyDescent="0.25">
      <c r="B68" s="6" t="s">
        <v>64</v>
      </c>
      <c r="C68" s="7">
        <v>3</v>
      </c>
      <c r="D68" s="18"/>
    </row>
    <row r="69" spans="2:4" x14ac:dyDescent="0.25">
      <c r="B69" s="6" t="s">
        <v>65</v>
      </c>
      <c r="C69" s="7">
        <v>1</v>
      </c>
      <c r="D69" s="18"/>
    </row>
    <row r="70" spans="2:4" x14ac:dyDescent="0.25">
      <c r="B70" s="6" t="s">
        <v>66</v>
      </c>
      <c r="C70" s="7">
        <v>3</v>
      </c>
      <c r="D70" s="18"/>
    </row>
    <row r="71" spans="2:4" x14ac:dyDescent="0.25">
      <c r="B71" s="6" t="s">
        <v>67</v>
      </c>
      <c r="C71" s="7">
        <v>3</v>
      </c>
      <c r="D71" s="18"/>
    </row>
    <row r="72" spans="2:4" x14ac:dyDescent="0.25">
      <c r="B72" s="20" t="s">
        <v>68</v>
      </c>
      <c r="C72" s="20"/>
      <c r="D72" s="20"/>
    </row>
    <row r="73" spans="2:4" x14ac:dyDescent="0.25">
      <c r="B73" s="6" t="s">
        <v>69</v>
      </c>
      <c r="C73" s="7">
        <v>1</v>
      </c>
      <c r="D73" s="18">
        <f>+AVERAGE(C73:C77)</f>
        <v>2.2000000000000002</v>
      </c>
    </row>
    <row r="74" spans="2:4" x14ac:dyDescent="0.25">
      <c r="B74" s="6" t="s">
        <v>70</v>
      </c>
      <c r="C74" s="7">
        <v>3</v>
      </c>
      <c r="D74" s="18"/>
    </row>
    <row r="75" spans="2:4" x14ac:dyDescent="0.25">
      <c r="B75" s="6" t="s">
        <v>71</v>
      </c>
      <c r="C75" s="7">
        <v>1</v>
      </c>
      <c r="D75" s="18"/>
    </row>
    <row r="76" spans="2:4" x14ac:dyDescent="0.25">
      <c r="B76" s="6" t="s">
        <v>72</v>
      </c>
      <c r="C76" s="7">
        <v>3</v>
      </c>
      <c r="D76" s="18"/>
    </row>
    <row r="77" spans="2:4" x14ac:dyDescent="0.25">
      <c r="B77" s="6" t="s">
        <v>73</v>
      </c>
      <c r="C77" s="7">
        <v>3</v>
      </c>
      <c r="D77" s="18"/>
    </row>
    <row r="78" spans="2:4" x14ac:dyDescent="0.25">
      <c r="B78" s="20" t="s">
        <v>74</v>
      </c>
      <c r="C78" s="20"/>
      <c r="D78" s="20"/>
    </row>
    <row r="79" spans="2:4" x14ac:dyDescent="0.25">
      <c r="B79" s="6" t="s">
        <v>75</v>
      </c>
      <c r="C79" s="7">
        <v>1</v>
      </c>
      <c r="D79" s="18">
        <f>+AVERAGE(C79:C83)</f>
        <v>2.2000000000000002</v>
      </c>
    </row>
    <row r="80" spans="2:4" x14ac:dyDescent="0.25">
      <c r="B80" s="6" t="s">
        <v>76</v>
      </c>
      <c r="C80" s="7">
        <v>3</v>
      </c>
      <c r="D80" s="18"/>
    </row>
    <row r="81" spans="2:4" x14ac:dyDescent="0.25">
      <c r="B81" s="6" t="s">
        <v>77</v>
      </c>
      <c r="C81" s="7">
        <v>1</v>
      </c>
      <c r="D81" s="18"/>
    </row>
    <row r="82" spans="2:4" x14ac:dyDescent="0.25">
      <c r="B82" s="6" t="s">
        <v>78</v>
      </c>
      <c r="C82" s="7">
        <v>3</v>
      </c>
      <c r="D82" s="18"/>
    </row>
    <row r="83" spans="2:4" x14ac:dyDescent="0.25">
      <c r="B83" s="6" t="s">
        <v>79</v>
      </c>
      <c r="C83" s="7">
        <v>3</v>
      </c>
      <c r="D83" s="18"/>
    </row>
    <row r="84" spans="2:4" x14ac:dyDescent="0.25">
      <c r="B84" s="20" t="s">
        <v>80</v>
      </c>
      <c r="C84" s="20"/>
      <c r="D84" s="20"/>
    </row>
    <row r="85" spans="2:4" x14ac:dyDescent="0.25">
      <c r="B85" s="6" t="s">
        <v>81</v>
      </c>
      <c r="C85" s="7">
        <v>1</v>
      </c>
      <c r="D85" s="18">
        <f>+AVERAGE(C85:C89)</f>
        <v>2.2000000000000002</v>
      </c>
    </row>
    <row r="86" spans="2:4" x14ac:dyDescent="0.25">
      <c r="B86" s="6" t="s">
        <v>82</v>
      </c>
      <c r="C86" s="7">
        <v>3</v>
      </c>
      <c r="D86" s="18"/>
    </row>
    <row r="87" spans="2:4" x14ac:dyDescent="0.25">
      <c r="B87" s="6" t="s">
        <v>83</v>
      </c>
      <c r="C87" s="7">
        <v>1</v>
      </c>
      <c r="D87" s="18"/>
    </row>
    <row r="88" spans="2:4" ht="30" x14ac:dyDescent="0.25">
      <c r="B88" s="6" t="s">
        <v>84</v>
      </c>
      <c r="C88" s="7">
        <v>3</v>
      </c>
      <c r="D88" s="18"/>
    </row>
    <row r="89" spans="2:4" x14ac:dyDescent="0.25">
      <c r="B89" s="6" t="s">
        <v>85</v>
      </c>
      <c r="C89" s="7">
        <v>3</v>
      </c>
      <c r="D89" s="18"/>
    </row>
    <row r="90" spans="2:4" x14ac:dyDescent="0.25">
      <c r="B90" s="20" t="s">
        <v>86</v>
      </c>
      <c r="C90" s="20"/>
      <c r="D90" s="20"/>
    </row>
    <row r="91" spans="2:4" x14ac:dyDescent="0.25">
      <c r="B91" s="6" t="s">
        <v>87</v>
      </c>
      <c r="C91" s="7">
        <v>1</v>
      </c>
      <c r="D91" s="18">
        <f>+AVERAGE(C91:C95)</f>
        <v>2.2000000000000002</v>
      </c>
    </row>
    <row r="92" spans="2:4" x14ac:dyDescent="0.25">
      <c r="B92" s="6" t="s">
        <v>88</v>
      </c>
      <c r="C92" s="7">
        <v>3</v>
      </c>
      <c r="D92" s="18"/>
    </row>
    <row r="93" spans="2:4" x14ac:dyDescent="0.25">
      <c r="B93" s="6" t="s">
        <v>89</v>
      </c>
      <c r="C93" s="7">
        <v>1</v>
      </c>
      <c r="D93" s="18"/>
    </row>
    <row r="94" spans="2:4" x14ac:dyDescent="0.25">
      <c r="B94" s="6" t="s">
        <v>90</v>
      </c>
      <c r="C94" s="7">
        <v>3</v>
      </c>
      <c r="D94" s="18"/>
    </row>
    <row r="95" spans="2:4" x14ac:dyDescent="0.25">
      <c r="B95" s="6" t="s">
        <v>91</v>
      </c>
      <c r="C95" s="7">
        <v>3</v>
      </c>
      <c r="D95" s="18"/>
    </row>
    <row r="96" spans="2:4" x14ac:dyDescent="0.25">
      <c r="B96" s="20" t="s">
        <v>92</v>
      </c>
      <c r="C96" s="20"/>
      <c r="D96" s="20"/>
    </row>
    <row r="97" spans="2:4" x14ac:dyDescent="0.25">
      <c r="B97" s="6" t="s">
        <v>93</v>
      </c>
      <c r="C97" s="7">
        <v>1</v>
      </c>
      <c r="D97" s="18">
        <f>+AVERAGE(C97:C101)</f>
        <v>2.2000000000000002</v>
      </c>
    </row>
    <row r="98" spans="2:4" x14ac:dyDescent="0.25">
      <c r="B98" s="6" t="s">
        <v>94</v>
      </c>
      <c r="C98" s="7">
        <v>3</v>
      </c>
      <c r="D98" s="18"/>
    </row>
    <row r="99" spans="2:4" x14ac:dyDescent="0.25">
      <c r="B99" s="6" t="s">
        <v>95</v>
      </c>
      <c r="C99" s="7">
        <v>1</v>
      </c>
      <c r="D99" s="18"/>
    </row>
    <row r="100" spans="2:4" x14ac:dyDescent="0.25">
      <c r="B100" s="6" t="s">
        <v>96</v>
      </c>
      <c r="C100" s="7">
        <v>3</v>
      </c>
      <c r="D100" s="18"/>
    </row>
    <row r="101" spans="2:4" ht="30" x14ac:dyDescent="0.25">
      <c r="B101" s="6" t="s">
        <v>97</v>
      </c>
      <c r="C101" s="7">
        <v>3</v>
      </c>
      <c r="D101" s="18"/>
    </row>
    <row r="102" spans="2:4" x14ac:dyDescent="0.25">
      <c r="B102" s="13" t="s">
        <v>98</v>
      </c>
      <c r="C102" s="17">
        <f>+((D104+D110+D116+D122+D128+D134)/6)/10</f>
        <v>0.21999999999999997</v>
      </c>
      <c r="D102" s="17"/>
    </row>
    <row r="103" spans="2:4" x14ac:dyDescent="0.25">
      <c r="B103" s="20" t="s">
        <v>99</v>
      </c>
      <c r="C103" s="20"/>
      <c r="D103" s="20"/>
    </row>
    <row r="104" spans="2:4" ht="30" x14ac:dyDescent="0.25">
      <c r="B104" s="6" t="s">
        <v>100</v>
      </c>
      <c r="C104" s="7">
        <v>1</v>
      </c>
      <c r="D104" s="18">
        <f>+AVERAGE(C104:C108)</f>
        <v>2.2000000000000002</v>
      </c>
    </row>
    <row r="105" spans="2:4" x14ac:dyDescent="0.25">
      <c r="B105" s="6" t="s">
        <v>101</v>
      </c>
      <c r="C105" s="7">
        <v>3</v>
      </c>
      <c r="D105" s="18"/>
    </row>
    <row r="106" spans="2:4" ht="14.25" customHeight="1" x14ac:dyDescent="0.25">
      <c r="B106" s="6" t="s">
        <v>102</v>
      </c>
      <c r="C106" s="7">
        <v>1</v>
      </c>
      <c r="D106" s="18"/>
    </row>
    <row r="107" spans="2:4" x14ac:dyDescent="0.25">
      <c r="B107" s="6" t="s">
        <v>103</v>
      </c>
      <c r="C107" s="7">
        <v>3</v>
      </c>
      <c r="D107" s="18"/>
    </row>
    <row r="108" spans="2:4" x14ac:dyDescent="0.25">
      <c r="B108" s="6" t="s">
        <v>104</v>
      </c>
      <c r="C108" s="7">
        <v>3</v>
      </c>
      <c r="D108" s="18"/>
    </row>
    <row r="109" spans="2:4" x14ac:dyDescent="0.25">
      <c r="B109" s="20" t="s">
        <v>105</v>
      </c>
      <c r="C109" s="20"/>
      <c r="D109" s="20"/>
    </row>
    <row r="110" spans="2:4" x14ac:dyDescent="0.25">
      <c r="B110" s="9" t="s">
        <v>106</v>
      </c>
      <c r="C110" s="7">
        <v>1</v>
      </c>
      <c r="D110" s="18">
        <f>+AVERAGE(C110:C114)</f>
        <v>2.2000000000000002</v>
      </c>
    </row>
    <row r="111" spans="2:4" x14ac:dyDescent="0.25">
      <c r="B111" s="9" t="s">
        <v>107</v>
      </c>
      <c r="C111" s="7">
        <v>3</v>
      </c>
      <c r="D111" s="18"/>
    </row>
    <row r="112" spans="2:4" x14ac:dyDescent="0.25">
      <c r="B112" s="9" t="s">
        <v>108</v>
      </c>
      <c r="C112" s="7">
        <v>1</v>
      </c>
      <c r="D112" s="18"/>
    </row>
    <row r="113" spans="2:4" x14ac:dyDescent="0.25">
      <c r="B113" s="9" t="s">
        <v>109</v>
      </c>
      <c r="C113" s="7">
        <v>3</v>
      </c>
      <c r="D113" s="18"/>
    </row>
    <row r="114" spans="2:4" x14ac:dyDescent="0.25">
      <c r="B114" s="9" t="s">
        <v>110</v>
      </c>
      <c r="C114" s="7">
        <v>3</v>
      </c>
      <c r="D114" s="18"/>
    </row>
    <row r="115" spans="2:4" x14ac:dyDescent="0.25">
      <c r="B115" s="20" t="s">
        <v>111</v>
      </c>
      <c r="C115" s="20"/>
      <c r="D115" s="20"/>
    </row>
    <row r="116" spans="2:4" x14ac:dyDescent="0.25">
      <c r="B116" s="9" t="s">
        <v>112</v>
      </c>
      <c r="C116" s="7">
        <v>1</v>
      </c>
      <c r="D116" s="18">
        <f>+AVERAGE(C116:C120)</f>
        <v>2.2000000000000002</v>
      </c>
    </row>
    <row r="117" spans="2:4" x14ac:dyDescent="0.25">
      <c r="B117" s="9" t="s">
        <v>113</v>
      </c>
      <c r="C117" s="7">
        <v>3</v>
      </c>
      <c r="D117" s="18"/>
    </row>
    <row r="118" spans="2:4" x14ac:dyDescent="0.25">
      <c r="B118" s="9" t="s">
        <v>114</v>
      </c>
      <c r="C118" s="7">
        <v>1</v>
      </c>
      <c r="D118" s="18"/>
    </row>
    <row r="119" spans="2:4" x14ac:dyDescent="0.25">
      <c r="B119" s="9" t="s">
        <v>115</v>
      </c>
      <c r="C119" s="7">
        <v>3</v>
      </c>
      <c r="D119" s="18"/>
    </row>
    <row r="120" spans="2:4" x14ac:dyDescent="0.25">
      <c r="B120" s="9" t="s">
        <v>116</v>
      </c>
      <c r="C120" s="7">
        <v>3</v>
      </c>
      <c r="D120" s="18"/>
    </row>
    <row r="121" spans="2:4" x14ac:dyDescent="0.25">
      <c r="B121" s="21" t="s">
        <v>117</v>
      </c>
      <c r="C121" s="21"/>
      <c r="D121" s="21"/>
    </row>
    <row r="122" spans="2:4" x14ac:dyDescent="0.25">
      <c r="B122" s="9" t="s">
        <v>118</v>
      </c>
      <c r="C122" s="7">
        <v>1</v>
      </c>
      <c r="D122" s="18">
        <f>+AVERAGE(C122:C126)</f>
        <v>2.2000000000000002</v>
      </c>
    </row>
    <row r="123" spans="2:4" x14ac:dyDescent="0.25">
      <c r="B123" s="9" t="s">
        <v>119</v>
      </c>
      <c r="C123" s="7">
        <v>3</v>
      </c>
      <c r="D123" s="18"/>
    </row>
    <row r="124" spans="2:4" x14ac:dyDescent="0.25">
      <c r="B124" s="9" t="s">
        <v>120</v>
      </c>
      <c r="C124" s="7">
        <v>1</v>
      </c>
      <c r="D124" s="18"/>
    </row>
    <row r="125" spans="2:4" x14ac:dyDescent="0.25">
      <c r="B125" s="9" t="s">
        <v>121</v>
      </c>
      <c r="C125" s="7">
        <v>3</v>
      </c>
      <c r="D125" s="18"/>
    </row>
    <row r="126" spans="2:4" x14ac:dyDescent="0.25">
      <c r="B126" s="9" t="s">
        <v>122</v>
      </c>
      <c r="C126" s="7">
        <v>3</v>
      </c>
      <c r="D126" s="18"/>
    </row>
    <row r="127" spans="2:4" x14ac:dyDescent="0.25">
      <c r="B127" s="20" t="s">
        <v>123</v>
      </c>
      <c r="C127" s="20"/>
      <c r="D127" s="20"/>
    </row>
    <row r="128" spans="2:4" x14ac:dyDescent="0.25">
      <c r="B128" s="9" t="s">
        <v>124</v>
      </c>
      <c r="C128" s="7">
        <v>1</v>
      </c>
      <c r="D128" s="18">
        <f>+AVERAGE(C128:C132)</f>
        <v>2.2000000000000002</v>
      </c>
    </row>
    <row r="129" spans="2:4" x14ac:dyDescent="0.25">
      <c r="B129" s="9" t="s">
        <v>125</v>
      </c>
      <c r="C129" s="7">
        <v>3</v>
      </c>
      <c r="D129" s="18"/>
    </row>
    <row r="130" spans="2:4" x14ac:dyDescent="0.25">
      <c r="B130" s="9" t="s">
        <v>126</v>
      </c>
      <c r="C130" s="7">
        <v>1</v>
      </c>
      <c r="D130" s="18"/>
    </row>
    <row r="131" spans="2:4" x14ac:dyDescent="0.25">
      <c r="B131" s="9" t="s">
        <v>127</v>
      </c>
      <c r="C131" s="7">
        <v>3</v>
      </c>
      <c r="D131" s="18"/>
    </row>
    <row r="132" spans="2:4" x14ac:dyDescent="0.25">
      <c r="B132" s="9" t="s">
        <v>128</v>
      </c>
      <c r="C132" s="7">
        <v>3</v>
      </c>
      <c r="D132" s="18"/>
    </row>
    <row r="133" spans="2:4" x14ac:dyDescent="0.25">
      <c r="B133" s="20" t="s">
        <v>129</v>
      </c>
      <c r="C133" s="20"/>
      <c r="D133" s="20"/>
    </row>
    <row r="134" spans="2:4" x14ac:dyDescent="0.25">
      <c r="B134" s="9" t="s">
        <v>130</v>
      </c>
      <c r="C134" s="7">
        <v>1</v>
      </c>
      <c r="D134" s="18">
        <f>+AVERAGE(C134:C138)</f>
        <v>2.2000000000000002</v>
      </c>
    </row>
    <row r="135" spans="2:4" x14ac:dyDescent="0.25">
      <c r="B135" s="9" t="s">
        <v>131</v>
      </c>
      <c r="C135" s="7">
        <v>3</v>
      </c>
      <c r="D135" s="18"/>
    </row>
    <row r="136" spans="2:4" x14ac:dyDescent="0.25">
      <c r="B136" s="9" t="s">
        <v>132</v>
      </c>
      <c r="C136" s="7">
        <v>1</v>
      </c>
      <c r="D136" s="18"/>
    </row>
    <row r="137" spans="2:4" x14ac:dyDescent="0.25">
      <c r="B137" s="9" t="s">
        <v>133</v>
      </c>
      <c r="C137" s="7">
        <v>3</v>
      </c>
      <c r="D137" s="18"/>
    </row>
    <row r="138" spans="2:4" x14ac:dyDescent="0.25">
      <c r="B138" s="9" t="s">
        <v>134</v>
      </c>
      <c r="C138" s="7">
        <v>3</v>
      </c>
      <c r="D138" s="18"/>
    </row>
    <row r="139" spans="2:4" x14ac:dyDescent="0.25">
      <c r="B139" s="13" t="s">
        <v>135</v>
      </c>
      <c r="C139" s="17">
        <f>+((D141+D147+D153+D159+D165)/5)/10</f>
        <v>0.22000000000000003</v>
      </c>
      <c r="D139" s="17"/>
    </row>
    <row r="140" spans="2:4" x14ac:dyDescent="0.25">
      <c r="B140" s="20" t="s">
        <v>141</v>
      </c>
      <c r="C140" s="20"/>
      <c r="D140" s="20"/>
    </row>
    <row r="141" spans="2:4" x14ac:dyDescent="0.25">
      <c r="B141" s="9" t="s">
        <v>136</v>
      </c>
      <c r="C141" s="7">
        <v>1</v>
      </c>
      <c r="D141" s="18">
        <f>+AVERAGE(C141:C145)</f>
        <v>2.2000000000000002</v>
      </c>
    </row>
    <row r="142" spans="2:4" x14ac:dyDescent="0.25">
      <c r="B142" s="9" t="s">
        <v>137</v>
      </c>
      <c r="C142" s="7">
        <v>3</v>
      </c>
      <c r="D142" s="18"/>
    </row>
    <row r="143" spans="2:4" x14ac:dyDescent="0.25">
      <c r="B143" s="9" t="s">
        <v>138</v>
      </c>
      <c r="C143" s="7">
        <v>1</v>
      </c>
      <c r="D143" s="18"/>
    </row>
    <row r="144" spans="2:4" x14ac:dyDescent="0.25">
      <c r="B144" s="9" t="s">
        <v>139</v>
      </c>
      <c r="C144" s="7">
        <v>3</v>
      </c>
      <c r="D144" s="18"/>
    </row>
    <row r="145" spans="2:4" x14ac:dyDescent="0.25">
      <c r="B145" s="9" t="s">
        <v>140</v>
      </c>
      <c r="C145" s="7">
        <v>3</v>
      </c>
      <c r="D145" s="18"/>
    </row>
    <row r="146" spans="2:4" x14ac:dyDescent="0.25">
      <c r="B146" s="20" t="s">
        <v>147</v>
      </c>
      <c r="C146" s="20"/>
      <c r="D146" s="20"/>
    </row>
    <row r="147" spans="2:4" x14ac:dyDescent="0.25">
      <c r="B147" s="9" t="s">
        <v>142</v>
      </c>
      <c r="C147" s="7">
        <v>1</v>
      </c>
      <c r="D147" s="18">
        <f>+AVERAGE(C147:C151)</f>
        <v>2.2000000000000002</v>
      </c>
    </row>
    <row r="148" spans="2:4" x14ac:dyDescent="0.25">
      <c r="B148" s="9" t="s">
        <v>143</v>
      </c>
      <c r="C148" s="7">
        <v>3</v>
      </c>
      <c r="D148" s="18"/>
    </row>
    <row r="149" spans="2:4" x14ac:dyDescent="0.25">
      <c r="B149" s="9" t="s">
        <v>144</v>
      </c>
      <c r="C149" s="7">
        <v>1</v>
      </c>
      <c r="D149" s="18"/>
    </row>
    <row r="150" spans="2:4" x14ac:dyDescent="0.25">
      <c r="B150" s="9" t="s">
        <v>145</v>
      </c>
      <c r="C150" s="7">
        <v>3</v>
      </c>
      <c r="D150" s="18"/>
    </row>
    <row r="151" spans="2:4" x14ac:dyDescent="0.25">
      <c r="B151" s="9" t="s">
        <v>146</v>
      </c>
      <c r="C151" s="7">
        <v>3</v>
      </c>
      <c r="D151" s="18"/>
    </row>
    <row r="152" spans="2:4" x14ac:dyDescent="0.25">
      <c r="B152" s="20" t="s">
        <v>148</v>
      </c>
      <c r="C152" s="20"/>
      <c r="D152" s="20"/>
    </row>
    <row r="153" spans="2:4" x14ac:dyDescent="0.25">
      <c r="B153" s="9" t="s">
        <v>149</v>
      </c>
      <c r="C153" s="7">
        <v>1</v>
      </c>
      <c r="D153" s="18">
        <f>+AVERAGE(C153:C157)</f>
        <v>2.2000000000000002</v>
      </c>
    </row>
    <row r="154" spans="2:4" x14ac:dyDescent="0.25">
      <c r="B154" s="9" t="s">
        <v>150</v>
      </c>
      <c r="C154" s="7">
        <v>3</v>
      </c>
      <c r="D154" s="18"/>
    </row>
    <row r="155" spans="2:4" x14ac:dyDescent="0.25">
      <c r="B155" s="9" t="s">
        <v>151</v>
      </c>
      <c r="C155" s="7">
        <v>1</v>
      </c>
      <c r="D155" s="18"/>
    </row>
    <row r="156" spans="2:4" x14ac:dyDescent="0.25">
      <c r="B156" s="9" t="s">
        <v>152</v>
      </c>
      <c r="C156" s="7">
        <v>3</v>
      </c>
      <c r="D156" s="18"/>
    </row>
    <row r="157" spans="2:4" x14ac:dyDescent="0.25">
      <c r="B157" s="9" t="s">
        <v>153</v>
      </c>
      <c r="C157" s="7">
        <v>3</v>
      </c>
      <c r="D157" s="18"/>
    </row>
    <row r="158" spans="2:4" x14ac:dyDescent="0.25">
      <c r="B158" s="20" t="s">
        <v>154</v>
      </c>
      <c r="C158" s="20"/>
      <c r="D158" s="20"/>
    </row>
    <row r="159" spans="2:4" x14ac:dyDescent="0.25">
      <c r="B159" s="9" t="s">
        <v>155</v>
      </c>
      <c r="C159" s="7">
        <v>1</v>
      </c>
      <c r="D159" s="18">
        <f>+AVERAGE(C159:C163)</f>
        <v>2.2000000000000002</v>
      </c>
    </row>
    <row r="160" spans="2:4" x14ac:dyDescent="0.25">
      <c r="B160" s="9" t="s">
        <v>156</v>
      </c>
      <c r="C160" s="7">
        <v>3</v>
      </c>
      <c r="D160" s="18"/>
    </row>
    <row r="161" spans="2:4" x14ac:dyDescent="0.25">
      <c r="B161" s="9" t="s">
        <v>157</v>
      </c>
      <c r="C161" s="7">
        <v>1</v>
      </c>
      <c r="D161" s="18"/>
    </row>
    <row r="162" spans="2:4" x14ac:dyDescent="0.25">
      <c r="B162" s="9" t="s">
        <v>158</v>
      </c>
      <c r="C162" s="7">
        <v>3</v>
      </c>
      <c r="D162" s="18"/>
    </row>
    <row r="163" spans="2:4" x14ac:dyDescent="0.25">
      <c r="B163" s="9" t="s">
        <v>159</v>
      </c>
      <c r="C163" s="7">
        <v>3</v>
      </c>
      <c r="D163" s="18"/>
    </row>
    <row r="164" spans="2:4" x14ac:dyDescent="0.25">
      <c r="B164" s="20" t="s">
        <v>160</v>
      </c>
      <c r="C164" s="20"/>
      <c r="D164" s="20"/>
    </row>
    <row r="165" spans="2:4" x14ac:dyDescent="0.25">
      <c r="B165" s="9" t="s">
        <v>161</v>
      </c>
      <c r="C165" s="7">
        <v>1</v>
      </c>
      <c r="D165" s="18">
        <f>+AVERAGE(C165:C169)</f>
        <v>2.2000000000000002</v>
      </c>
    </row>
    <row r="166" spans="2:4" x14ac:dyDescent="0.25">
      <c r="B166" s="9" t="s">
        <v>162</v>
      </c>
      <c r="C166" s="7">
        <v>3</v>
      </c>
      <c r="D166" s="18"/>
    </row>
    <row r="167" spans="2:4" x14ac:dyDescent="0.25">
      <c r="B167" s="9" t="s">
        <v>163</v>
      </c>
      <c r="C167" s="7">
        <v>1</v>
      </c>
      <c r="D167" s="18"/>
    </row>
    <row r="168" spans="2:4" x14ac:dyDescent="0.25">
      <c r="B168" s="9" t="s">
        <v>164</v>
      </c>
      <c r="C168" s="7">
        <v>3</v>
      </c>
      <c r="D168" s="18"/>
    </row>
    <row r="169" spans="2:4" x14ac:dyDescent="0.25">
      <c r="B169" s="9" t="s">
        <v>165</v>
      </c>
      <c r="C169" s="7">
        <v>3</v>
      </c>
      <c r="D169" s="18"/>
    </row>
    <row r="170" spans="2:4" x14ac:dyDescent="0.25">
      <c r="B170" s="13" t="s">
        <v>166</v>
      </c>
      <c r="C170" s="17">
        <f>+((D172+D178+D184+D190+D196+D202+D208+D214+D220+D226)/10)/10</f>
        <v>0.21999999999999997</v>
      </c>
      <c r="D170" s="17"/>
    </row>
    <row r="171" spans="2:4" x14ac:dyDescent="0.25">
      <c r="B171" s="20" t="s">
        <v>167</v>
      </c>
      <c r="C171" s="20"/>
      <c r="D171" s="20"/>
    </row>
    <row r="172" spans="2:4" x14ac:dyDescent="0.25">
      <c r="B172" s="10" t="s">
        <v>168</v>
      </c>
      <c r="C172" s="7">
        <v>1</v>
      </c>
      <c r="D172" s="18">
        <f>+AVERAGE(C172:C176)</f>
        <v>2.2000000000000002</v>
      </c>
    </row>
    <row r="173" spans="2:4" x14ac:dyDescent="0.25">
      <c r="B173" s="10" t="s">
        <v>169</v>
      </c>
      <c r="C173" s="7">
        <v>3</v>
      </c>
      <c r="D173" s="18"/>
    </row>
    <row r="174" spans="2:4" x14ac:dyDescent="0.25">
      <c r="B174" s="10" t="s">
        <v>170</v>
      </c>
      <c r="C174" s="7">
        <v>1</v>
      </c>
      <c r="D174" s="18"/>
    </row>
    <row r="175" spans="2:4" x14ac:dyDescent="0.25">
      <c r="B175" s="10" t="s">
        <v>171</v>
      </c>
      <c r="C175" s="7">
        <v>3</v>
      </c>
      <c r="D175" s="18"/>
    </row>
    <row r="176" spans="2:4" x14ac:dyDescent="0.25">
      <c r="B176" s="10" t="s">
        <v>172</v>
      </c>
      <c r="C176" s="7">
        <v>3</v>
      </c>
      <c r="D176" s="18"/>
    </row>
    <row r="177" spans="2:4" x14ac:dyDescent="0.25">
      <c r="B177" s="20" t="s">
        <v>173</v>
      </c>
      <c r="C177" s="20"/>
      <c r="D177" s="20"/>
    </row>
    <row r="178" spans="2:4" x14ac:dyDescent="0.25">
      <c r="B178" s="11" t="s">
        <v>174</v>
      </c>
      <c r="C178" s="7">
        <v>1</v>
      </c>
      <c r="D178" s="18">
        <f>+AVERAGE(C178:C182)</f>
        <v>2.2000000000000002</v>
      </c>
    </row>
    <row r="179" spans="2:4" x14ac:dyDescent="0.25">
      <c r="B179" s="11" t="s">
        <v>175</v>
      </c>
      <c r="C179" s="7">
        <v>3</v>
      </c>
      <c r="D179" s="18"/>
    </row>
    <row r="180" spans="2:4" x14ac:dyDescent="0.25">
      <c r="B180" s="11" t="s">
        <v>176</v>
      </c>
      <c r="C180" s="7">
        <v>1</v>
      </c>
      <c r="D180" s="18"/>
    </row>
    <row r="181" spans="2:4" x14ac:dyDescent="0.25">
      <c r="B181" s="11" t="s">
        <v>177</v>
      </c>
      <c r="C181" s="7">
        <v>3</v>
      </c>
      <c r="D181" s="18"/>
    </row>
    <row r="182" spans="2:4" x14ac:dyDescent="0.25">
      <c r="B182" s="11" t="s">
        <v>178</v>
      </c>
      <c r="C182" s="7">
        <v>3</v>
      </c>
      <c r="D182" s="18"/>
    </row>
    <row r="183" spans="2:4" x14ac:dyDescent="0.25">
      <c r="B183" s="20" t="s">
        <v>179</v>
      </c>
      <c r="C183" s="20"/>
      <c r="D183" s="20"/>
    </row>
    <row r="184" spans="2:4" x14ac:dyDescent="0.25">
      <c r="B184" s="10" t="s">
        <v>180</v>
      </c>
      <c r="C184" s="7">
        <v>1</v>
      </c>
      <c r="D184" s="18">
        <f>+AVERAGE(C184:C188)</f>
        <v>2.2000000000000002</v>
      </c>
    </row>
    <row r="185" spans="2:4" x14ac:dyDescent="0.25">
      <c r="B185" s="10" t="s">
        <v>181</v>
      </c>
      <c r="C185" s="7">
        <v>3</v>
      </c>
      <c r="D185" s="18"/>
    </row>
    <row r="186" spans="2:4" x14ac:dyDescent="0.25">
      <c r="B186" s="10" t="s">
        <v>182</v>
      </c>
      <c r="C186" s="7">
        <v>1</v>
      </c>
      <c r="D186" s="18"/>
    </row>
    <row r="187" spans="2:4" x14ac:dyDescent="0.25">
      <c r="B187" s="10" t="s">
        <v>183</v>
      </c>
      <c r="C187" s="7">
        <v>3</v>
      </c>
      <c r="D187" s="18"/>
    </row>
    <row r="188" spans="2:4" x14ac:dyDescent="0.25">
      <c r="B188" s="10" t="s">
        <v>184</v>
      </c>
      <c r="C188" s="7">
        <v>3</v>
      </c>
      <c r="D188" s="18"/>
    </row>
    <row r="189" spans="2:4" x14ac:dyDescent="0.25">
      <c r="B189" s="20" t="s">
        <v>185</v>
      </c>
      <c r="C189" s="20"/>
      <c r="D189" s="20"/>
    </row>
    <row r="190" spans="2:4" x14ac:dyDescent="0.25">
      <c r="B190" s="11" t="s">
        <v>187</v>
      </c>
      <c r="C190" s="7">
        <v>1</v>
      </c>
      <c r="D190" s="18">
        <f>+AVERAGE(C190:C194)</f>
        <v>2.2000000000000002</v>
      </c>
    </row>
    <row r="191" spans="2:4" x14ac:dyDescent="0.25">
      <c r="B191" s="11" t="s">
        <v>188</v>
      </c>
      <c r="C191" s="7">
        <v>3</v>
      </c>
      <c r="D191" s="18"/>
    </row>
    <row r="192" spans="2:4" x14ac:dyDescent="0.25">
      <c r="B192" s="11" t="s">
        <v>189</v>
      </c>
      <c r="C192" s="7">
        <v>1</v>
      </c>
      <c r="D192" s="18"/>
    </row>
    <row r="193" spans="2:4" x14ac:dyDescent="0.25">
      <c r="B193" s="11" t="s">
        <v>190</v>
      </c>
      <c r="C193" s="7">
        <v>3</v>
      </c>
      <c r="D193" s="18"/>
    </row>
    <row r="194" spans="2:4" x14ac:dyDescent="0.25">
      <c r="B194" s="11" t="s">
        <v>191</v>
      </c>
      <c r="C194" s="7">
        <v>3</v>
      </c>
      <c r="D194" s="18"/>
    </row>
    <row r="195" spans="2:4" x14ac:dyDescent="0.25">
      <c r="B195" s="20" t="s">
        <v>186</v>
      </c>
      <c r="C195" s="20"/>
      <c r="D195" s="20"/>
    </row>
    <row r="196" spans="2:4" x14ac:dyDescent="0.25">
      <c r="B196" s="10" t="s">
        <v>192</v>
      </c>
      <c r="C196" s="7">
        <v>1</v>
      </c>
      <c r="D196" s="18">
        <f>+AVERAGE(C196:C200)</f>
        <v>2.2000000000000002</v>
      </c>
    </row>
    <row r="197" spans="2:4" x14ac:dyDescent="0.25">
      <c r="B197" s="10" t="s">
        <v>193</v>
      </c>
      <c r="C197" s="7">
        <v>3</v>
      </c>
      <c r="D197" s="18"/>
    </row>
    <row r="198" spans="2:4" x14ac:dyDescent="0.25">
      <c r="B198" s="10" t="s">
        <v>194</v>
      </c>
      <c r="C198" s="7">
        <v>1</v>
      </c>
      <c r="D198" s="18"/>
    </row>
    <row r="199" spans="2:4" x14ac:dyDescent="0.25">
      <c r="B199" s="10" t="s">
        <v>195</v>
      </c>
      <c r="C199" s="7">
        <v>3</v>
      </c>
      <c r="D199" s="18"/>
    </row>
    <row r="200" spans="2:4" x14ac:dyDescent="0.25">
      <c r="B200" s="10" t="s">
        <v>196</v>
      </c>
      <c r="C200" s="7">
        <v>3</v>
      </c>
      <c r="D200" s="18"/>
    </row>
    <row r="201" spans="2:4" x14ac:dyDescent="0.25">
      <c r="B201" s="20" t="s">
        <v>197</v>
      </c>
      <c r="C201" s="20"/>
      <c r="D201" s="20"/>
    </row>
    <row r="202" spans="2:4" x14ac:dyDescent="0.25">
      <c r="B202" s="11" t="s">
        <v>198</v>
      </c>
      <c r="C202" s="7">
        <v>1</v>
      </c>
      <c r="D202" s="18">
        <f>+AVERAGE(C202:C206)</f>
        <v>2.2000000000000002</v>
      </c>
    </row>
    <row r="203" spans="2:4" x14ac:dyDescent="0.25">
      <c r="B203" s="11" t="s">
        <v>199</v>
      </c>
      <c r="C203" s="7">
        <v>3</v>
      </c>
      <c r="D203" s="18"/>
    </row>
    <row r="204" spans="2:4" x14ac:dyDescent="0.25">
      <c r="B204" s="11" t="s">
        <v>200</v>
      </c>
      <c r="C204" s="7">
        <v>1</v>
      </c>
      <c r="D204" s="18"/>
    </row>
    <row r="205" spans="2:4" x14ac:dyDescent="0.25">
      <c r="B205" s="11" t="s">
        <v>201</v>
      </c>
      <c r="C205" s="7">
        <v>3</v>
      </c>
      <c r="D205" s="18"/>
    </row>
    <row r="206" spans="2:4" x14ac:dyDescent="0.25">
      <c r="B206" s="11" t="s">
        <v>202</v>
      </c>
      <c r="C206" s="7">
        <v>3</v>
      </c>
      <c r="D206" s="18"/>
    </row>
    <row r="207" spans="2:4" x14ac:dyDescent="0.25">
      <c r="B207" s="20" t="s">
        <v>203</v>
      </c>
      <c r="C207" s="20"/>
      <c r="D207" s="20"/>
    </row>
    <row r="208" spans="2:4" x14ac:dyDescent="0.25">
      <c r="B208" s="11" t="s">
        <v>204</v>
      </c>
      <c r="C208" s="7">
        <v>1</v>
      </c>
      <c r="D208" s="18">
        <f>+AVERAGE(C208:C212)</f>
        <v>2.2000000000000002</v>
      </c>
    </row>
    <row r="209" spans="2:4" x14ac:dyDescent="0.25">
      <c r="B209" s="11" t="s">
        <v>205</v>
      </c>
      <c r="C209" s="7">
        <v>3</v>
      </c>
      <c r="D209" s="18"/>
    </row>
    <row r="210" spans="2:4" x14ac:dyDescent="0.25">
      <c r="B210" s="11" t="s">
        <v>206</v>
      </c>
      <c r="C210" s="7">
        <v>1</v>
      </c>
      <c r="D210" s="18"/>
    </row>
    <row r="211" spans="2:4" x14ac:dyDescent="0.25">
      <c r="B211" s="11" t="s">
        <v>207</v>
      </c>
      <c r="C211" s="7">
        <v>3</v>
      </c>
      <c r="D211" s="18"/>
    </row>
    <row r="212" spans="2:4" x14ac:dyDescent="0.25">
      <c r="B212" s="11" t="s">
        <v>208</v>
      </c>
      <c r="C212" s="7">
        <v>3</v>
      </c>
      <c r="D212" s="18"/>
    </row>
    <row r="213" spans="2:4" x14ac:dyDescent="0.25">
      <c r="B213" s="20" t="s">
        <v>209</v>
      </c>
      <c r="C213" s="20"/>
      <c r="D213" s="20"/>
    </row>
    <row r="214" spans="2:4" x14ac:dyDescent="0.25">
      <c r="B214" s="11" t="s">
        <v>210</v>
      </c>
      <c r="C214" s="7">
        <v>1</v>
      </c>
      <c r="D214" s="18">
        <f>+AVERAGE(C214:C218)</f>
        <v>2.2000000000000002</v>
      </c>
    </row>
    <row r="215" spans="2:4" x14ac:dyDescent="0.25">
      <c r="B215" s="11" t="s">
        <v>211</v>
      </c>
      <c r="C215" s="7">
        <v>3</v>
      </c>
      <c r="D215" s="18"/>
    </row>
    <row r="216" spans="2:4" x14ac:dyDescent="0.25">
      <c r="B216" s="11" t="s">
        <v>212</v>
      </c>
      <c r="C216" s="7">
        <v>1</v>
      </c>
      <c r="D216" s="18"/>
    </row>
    <row r="217" spans="2:4" x14ac:dyDescent="0.25">
      <c r="B217" s="11" t="s">
        <v>213</v>
      </c>
      <c r="C217" s="7">
        <v>3</v>
      </c>
      <c r="D217" s="18"/>
    </row>
    <row r="218" spans="2:4" x14ac:dyDescent="0.25">
      <c r="B218" s="11" t="s">
        <v>214</v>
      </c>
      <c r="C218" s="7">
        <v>3</v>
      </c>
      <c r="D218" s="18"/>
    </row>
    <row r="219" spans="2:4" x14ac:dyDescent="0.25">
      <c r="B219" s="20" t="s">
        <v>215</v>
      </c>
      <c r="C219" s="20"/>
      <c r="D219" s="20"/>
    </row>
    <row r="220" spans="2:4" x14ac:dyDescent="0.25">
      <c r="B220" s="11" t="s">
        <v>216</v>
      </c>
      <c r="C220" s="7">
        <v>1</v>
      </c>
      <c r="D220" s="18">
        <f>+AVERAGE(C220:C224)</f>
        <v>2.2000000000000002</v>
      </c>
    </row>
    <row r="221" spans="2:4" x14ac:dyDescent="0.25">
      <c r="B221" s="11" t="s">
        <v>217</v>
      </c>
      <c r="C221" s="7">
        <v>3</v>
      </c>
      <c r="D221" s="18"/>
    </row>
    <row r="222" spans="2:4" x14ac:dyDescent="0.25">
      <c r="B222" s="11" t="s">
        <v>218</v>
      </c>
      <c r="C222" s="7">
        <v>1</v>
      </c>
      <c r="D222" s="18"/>
    </row>
    <row r="223" spans="2:4" x14ac:dyDescent="0.25">
      <c r="B223" s="11" t="s">
        <v>219</v>
      </c>
      <c r="C223" s="7">
        <v>3</v>
      </c>
      <c r="D223" s="18"/>
    </row>
    <row r="224" spans="2:4" x14ac:dyDescent="0.25">
      <c r="B224" s="11" t="s">
        <v>220</v>
      </c>
      <c r="C224" s="7">
        <v>3</v>
      </c>
      <c r="D224" s="18"/>
    </row>
    <row r="225" spans="2:4" x14ac:dyDescent="0.25">
      <c r="B225" s="20" t="s">
        <v>221</v>
      </c>
      <c r="C225" s="20"/>
      <c r="D225" s="20"/>
    </row>
    <row r="226" spans="2:4" x14ac:dyDescent="0.25">
      <c r="B226" s="11" t="s">
        <v>222</v>
      </c>
      <c r="C226" s="7">
        <v>1</v>
      </c>
      <c r="D226" s="18">
        <f>+AVERAGE(C226:C230)</f>
        <v>2.2000000000000002</v>
      </c>
    </row>
    <row r="227" spans="2:4" x14ac:dyDescent="0.25">
      <c r="B227" s="11" t="s">
        <v>223</v>
      </c>
      <c r="C227" s="7">
        <v>3</v>
      </c>
      <c r="D227" s="18"/>
    </row>
    <row r="228" spans="2:4" x14ac:dyDescent="0.25">
      <c r="B228" s="11" t="s">
        <v>224</v>
      </c>
      <c r="C228" s="7">
        <v>1</v>
      </c>
      <c r="D228" s="18"/>
    </row>
    <row r="229" spans="2:4" x14ac:dyDescent="0.25">
      <c r="B229" s="11" t="s">
        <v>225</v>
      </c>
      <c r="C229" s="7">
        <v>3</v>
      </c>
      <c r="D229" s="18"/>
    </row>
    <row r="230" spans="2:4" x14ac:dyDescent="0.25">
      <c r="B230" s="11" t="s">
        <v>226</v>
      </c>
      <c r="C230" s="7">
        <v>3</v>
      </c>
      <c r="D230" s="18"/>
    </row>
    <row r="231" spans="2:4" x14ac:dyDescent="0.25">
      <c r="B231" s="13" t="s">
        <v>227</v>
      </c>
      <c r="C231" s="17">
        <f>+((D233+D239+D245+D251+D257+D263)/6)/10</f>
        <v>0.21999999999999997</v>
      </c>
      <c r="D231" s="17"/>
    </row>
    <row r="232" spans="2:4" x14ac:dyDescent="0.25">
      <c r="B232" s="20" t="s">
        <v>228</v>
      </c>
      <c r="C232" s="20"/>
      <c r="D232" s="20"/>
    </row>
    <row r="233" spans="2:4" x14ac:dyDescent="0.25">
      <c r="B233" s="11" t="s">
        <v>229</v>
      </c>
      <c r="C233" s="7">
        <v>1</v>
      </c>
      <c r="D233" s="18">
        <f>+AVERAGE(C233:C237)</f>
        <v>2.2000000000000002</v>
      </c>
    </row>
    <row r="234" spans="2:4" x14ac:dyDescent="0.25">
      <c r="B234" s="11" t="s">
        <v>230</v>
      </c>
      <c r="C234" s="7">
        <v>3</v>
      </c>
      <c r="D234" s="18"/>
    </row>
    <row r="235" spans="2:4" x14ac:dyDescent="0.25">
      <c r="B235" s="11" t="s">
        <v>231</v>
      </c>
      <c r="C235" s="7">
        <v>1</v>
      </c>
      <c r="D235" s="18"/>
    </row>
    <row r="236" spans="2:4" x14ac:dyDescent="0.25">
      <c r="B236" s="11" t="s">
        <v>232</v>
      </c>
      <c r="C236" s="7">
        <v>3</v>
      </c>
      <c r="D236" s="18"/>
    </row>
    <row r="237" spans="2:4" x14ac:dyDescent="0.25">
      <c r="B237" s="11" t="s">
        <v>233</v>
      </c>
      <c r="C237" s="7">
        <v>3</v>
      </c>
      <c r="D237" s="18"/>
    </row>
    <row r="238" spans="2:4" x14ac:dyDescent="0.25">
      <c r="B238" s="20" t="s">
        <v>234</v>
      </c>
      <c r="C238" s="20"/>
      <c r="D238" s="20"/>
    </row>
    <row r="239" spans="2:4" x14ac:dyDescent="0.25">
      <c r="B239" s="11" t="s">
        <v>235</v>
      </c>
      <c r="C239" s="7">
        <v>1</v>
      </c>
      <c r="D239" s="18">
        <f>+AVERAGE(C239:C243)</f>
        <v>2.2000000000000002</v>
      </c>
    </row>
    <row r="240" spans="2:4" x14ac:dyDescent="0.25">
      <c r="B240" s="11" t="s">
        <v>236</v>
      </c>
      <c r="C240" s="7">
        <v>3</v>
      </c>
      <c r="D240" s="18"/>
    </row>
    <row r="241" spans="2:4" x14ac:dyDescent="0.25">
      <c r="B241" s="11" t="s">
        <v>237</v>
      </c>
      <c r="C241" s="7">
        <v>1</v>
      </c>
      <c r="D241" s="18"/>
    </row>
    <row r="242" spans="2:4" x14ac:dyDescent="0.25">
      <c r="B242" s="11" t="s">
        <v>238</v>
      </c>
      <c r="C242" s="7">
        <v>3</v>
      </c>
      <c r="D242" s="18"/>
    </row>
    <row r="243" spans="2:4" x14ac:dyDescent="0.25">
      <c r="B243" s="11" t="s">
        <v>239</v>
      </c>
      <c r="C243" s="7">
        <v>3</v>
      </c>
      <c r="D243" s="18"/>
    </row>
    <row r="244" spans="2:4" x14ac:dyDescent="0.25">
      <c r="B244" s="20" t="s">
        <v>240</v>
      </c>
      <c r="C244" s="20"/>
      <c r="D244" s="20"/>
    </row>
    <row r="245" spans="2:4" x14ac:dyDescent="0.25">
      <c r="B245" s="11" t="s">
        <v>241</v>
      </c>
      <c r="C245" s="7">
        <v>1</v>
      </c>
      <c r="D245" s="18">
        <f>+AVERAGE(C245:C249)</f>
        <v>2.2000000000000002</v>
      </c>
    </row>
    <row r="246" spans="2:4" x14ac:dyDescent="0.25">
      <c r="B246" s="11" t="s">
        <v>242</v>
      </c>
      <c r="C246" s="7">
        <v>3</v>
      </c>
      <c r="D246" s="18"/>
    </row>
    <row r="247" spans="2:4" x14ac:dyDescent="0.25">
      <c r="B247" s="11" t="s">
        <v>243</v>
      </c>
      <c r="C247" s="7">
        <v>1</v>
      </c>
      <c r="D247" s="18"/>
    </row>
    <row r="248" spans="2:4" x14ac:dyDescent="0.25">
      <c r="B248" s="11" t="s">
        <v>244</v>
      </c>
      <c r="C248" s="7">
        <v>3</v>
      </c>
      <c r="D248" s="18"/>
    </row>
    <row r="249" spans="2:4" x14ac:dyDescent="0.25">
      <c r="B249" s="11" t="s">
        <v>245</v>
      </c>
      <c r="C249" s="7">
        <v>3</v>
      </c>
      <c r="D249" s="18"/>
    </row>
    <row r="250" spans="2:4" x14ac:dyDescent="0.25">
      <c r="B250" s="20" t="s">
        <v>246</v>
      </c>
      <c r="C250" s="20"/>
      <c r="D250" s="20"/>
    </row>
    <row r="251" spans="2:4" x14ac:dyDescent="0.25">
      <c r="B251" s="11" t="s">
        <v>247</v>
      </c>
      <c r="C251" s="7">
        <v>1</v>
      </c>
      <c r="D251" s="18">
        <f>+AVERAGE(C251:C255)</f>
        <v>2.2000000000000002</v>
      </c>
    </row>
    <row r="252" spans="2:4" x14ac:dyDescent="0.25">
      <c r="B252" s="11" t="s">
        <v>248</v>
      </c>
      <c r="C252" s="7">
        <v>3</v>
      </c>
      <c r="D252" s="18"/>
    </row>
    <row r="253" spans="2:4" x14ac:dyDescent="0.25">
      <c r="B253" s="11" t="s">
        <v>249</v>
      </c>
      <c r="C253" s="7">
        <v>1</v>
      </c>
      <c r="D253" s="18"/>
    </row>
    <row r="254" spans="2:4" x14ac:dyDescent="0.25">
      <c r="B254" s="11" t="s">
        <v>250</v>
      </c>
      <c r="C254" s="7">
        <v>3</v>
      </c>
      <c r="D254" s="18"/>
    </row>
    <row r="255" spans="2:4" x14ac:dyDescent="0.25">
      <c r="B255" s="11" t="s">
        <v>251</v>
      </c>
      <c r="C255" s="7">
        <v>3</v>
      </c>
      <c r="D255" s="18"/>
    </row>
    <row r="256" spans="2:4" x14ac:dyDescent="0.25">
      <c r="B256" s="20" t="s">
        <v>252</v>
      </c>
      <c r="C256" s="20"/>
      <c r="D256" s="20"/>
    </row>
    <row r="257" spans="2:4" x14ac:dyDescent="0.25">
      <c r="B257" s="11" t="s">
        <v>253</v>
      </c>
      <c r="C257" s="7">
        <v>1</v>
      </c>
      <c r="D257" s="18">
        <f>+AVERAGE(C257:C261)</f>
        <v>2.2000000000000002</v>
      </c>
    </row>
    <row r="258" spans="2:4" x14ac:dyDescent="0.25">
      <c r="B258" s="11" t="s">
        <v>254</v>
      </c>
      <c r="C258" s="7">
        <v>3</v>
      </c>
      <c r="D258" s="18"/>
    </row>
    <row r="259" spans="2:4" x14ac:dyDescent="0.25">
      <c r="B259" s="11" t="s">
        <v>255</v>
      </c>
      <c r="C259" s="7">
        <v>1</v>
      </c>
      <c r="D259" s="18"/>
    </row>
    <row r="260" spans="2:4" x14ac:dyDescent="0.25">
      <c r="B260" s="11" t="s">
        <v>256</v>
      </c>
      <c r="C260" s="7">
        <v>3</v>
      </c>
      <c r="D260" s="18"/>
    </row>
    <row r="261" spans="2:4" x14ac:dyDescent="0.25">
      <c r="B261" s="11" t="s">
        <v>257</v>
      </c>
      <c r="C261" s="7">
        <v>3</v>
      </c>
      <c r="D261" s="18"/>
    </row>
    <row r="262" spans="2:4" x14ac:dyDescent="0.25">
      <c r="B262" s="20" t="s">
        <v>258</v>
      </c>
      <c r="C262" s="20"/>
      <c r="D262" s="20"/>
    </row>
    <row r="263" spans="2:4" x14ac:dyDescent="0.25">
      <c r="B263" s="11" t="s">
        <v>259</v>
      </c>
      <c r="C263" s="7">
        <v>1</v>
      </c>
      <c r="D263" s="18">
        <f>+AVERAGE(C263:C267)</f>
        <v>2.2000000000000002</v>
      </c>
    </row>
    <row r="264" spans="2:4" x14ac:dyDescent="0.25">
      <c r="B264" s="11" t="s">
        <v>260</v>
      </c>
      <c r="C264" s="7">
        <v>3</v>
      </c>
      <c r="D264" s="18"/>
    </row>
    <row r="265" spans="2:4" x14ac:dyDescent="0.25">
      <c r="B265" s="11" t="s">
        <v>261</v>
      </c>
      <c r="C265" s="7">
        <v>1</v>
      </c>
      <c r="D265" s="18"/>
    </row>
    <row r="266" spans="2:4" x14ac:dyDescent="0.25">
      <c r="B266" s="11" t="s">
        <v>262</v>
      </c>
      <c r="C266" s="7">
        <v>3</v>
      </c>
      <c r="D266" s="18"/>
    </row>
    <row r="267" spans="2:4" x14ac:dyDescent="0.25">
      <c r="B267" s="11" t="s">
        <v>263</v>
      </c>
      <c r="C267" s="7">
        <v>3</v>
      </c>
      <c r="D267" s="18"/>
    </row>
    <row r="268" spans="2:4" x14ac:dyDescent="0.25">
      <c r="B268" s="13" t="s">
        <v>264</v>
      </c>
      <c r="C268" s="17">
        <f>+((D270+D276+D282+D288+D294)/5)/10</f>
        <v>0.22000000000000003</v>
      </c>
      <c r="D268" s="17"/>
    </row>
    <row r="269" spans="2:4" x14ac:dyDescent="0.25">
      <c r="B269" s="20" t="s">
        <v>265</v>
      </c>
      <c r="C269" s="20"/>
      <c r="D269" s="20"/>
    </row>
    <row r="270" spans="2:4" x14ac:dyDescent="0.25">
      <c r="B270" s="11" t="s">
        <v>266</v>
      </c>
      <c r="C270" s="7">
        <v>1</v>
      </c>
      <c r="D270" s="18">
        <f>+AVERAGE(C270:C274)</f>
        <v>2.2000000000000002</v>
      </c>
    </row>
    <row r="271" spans="2:4" x14ac:dyDescent="0.25">
      <c r="B271" s="11" t="s">
        <v>267</v>
      </c>
      <c r="C271" s="7">
        <v>3</v>
      </c>
      <c r="D271" s="18"/>
    </row>
    <row r="272" spans="2:4" x14ac:dyDescent="0.25">
      <c r="B272" s="11" t="s">
        <v>268</v>
      </c>
      <c r="C272" s="7">
        <v>1</v>
      </c>
      <c r="D272" s="18"/>
    </row>
    <row r="273" spans="2:4" x14ac:dyDescent="0.25">
      <c r="B273" s="11" t="s">
        <v>269</v>
      </c>
      <c r="C273" s="7">
        <v>3</v>
      </c>
      <c r="D273" s="18"/>
    </row>
    <row r="274" spans="2:4" x14ac:dyDescent="0.25">
      <c r="B274" s="11" t="s">
        <v>270</v>
      </c>
      <c r="C274" s="7">
        <v>3</v>
      </c>
      <c r="D274" s="18"/>
    </row>
    <row r="275" spans="2:4" x14ac:dyDescent="0.25">
      <c r="B275" s="20" t="s">
        <v>271</v>
      </c>
      <c r="C275" s="20"/>
      <c r="D275" s="20"/>
    </row>
    <row r="276" spans="2:4" x14ac:dyDescent="0.25">
      <c r="B276" s="11" t="s">
        <v>272</v>
      </c>
      <c r="C276" s="7">
        <v>1</v>
      </c>
      <c r="D276" s="18">
        <f>+AVERAGE(C276:C280)</f>
        <v>2.2000000000000002</v>
      </c>
    </row>
    <row r="277" spans="2:4" x14ac:dyDescent="0.25">
      <c r="B277" s="11" t="s">
        <v>273</v>
      </c>
      <c r="C277" s="7">
        <v>3</v>
      </c>
      <c r="D277" s="18"/>
    </row>
    <row r="278" spans="2:4" x14ac:dyDescent="0.25">
      <c r="B278" s="11" t="s">
        <v>274</v>
      </c>
      <c r="C278" s="7">
        <v>1</v>
      </c>
      <c r="D278" s="18"/>
    </row>
    <row r="279" spans="2:4" x14ac:dyDescent="0.25">
      <c r="B279" s="11" t="s">
        <v>275</v>
      </c>
      <c r="C279" s="7">
        <v>3</v>
      </c>
      <c r="D279" s="18"/>
    </row>
    <row r="280" spans="2:4" x14ac:dyDescent="0.25">
      <c r="B280" s="11" t="s">
        <v>276</v>
      </c>
      <c r="C280" s="7">
        <v>3</v>
      </c>
      <c r="D280" s="18"/>
    </row>
    <row r="281" spans="2:4" x14ac:dyDescent="0.25">
      <c r="B281" s="20" t="s">
        <v>277</v>
      </c>
      <c r="C281" s="20"/>
      <c r="D281" s="20"/>
    </row>
    <row r="282" spans="2:4" x14ac:dyDescent="0.25">
      <c r="B282" s="11" t="s">
        <v>278</v>
      </c>
      <c r="C282" s="7">
        <v>1</v>
      </c>
      <c r="D282" s="18">
        <f>+AVERAGE(C282:C286)</f>
        <v>2.2000000000000002</v>
      </c>
    </row>
    <row r="283" spans="2:4" x14ac:dyDescent="0.25">
      <c r="B283" s="11" t="s">
        <v>279</v>
      </c>
      <c r="C283" s="7">
        <v>3</v>
      </c>
      <c r="D283" s="18"/>
    </row>
    <row r="284" spans="2:4" x14ac:dyDescent="0.25">
      <c r="B284" s="11" t="s">
        <v>280</v>
      </c>
      <c r="C284" s="7">
        <v>1</v>
      </c>
      <c r="D284" s="18"/>
    </row>
    <row r="285" spans="2:4" x14ac:dyDescent="0.25">
      <c r="B285" s="11" t="s">
        <v>281</v>
      </c>
      <c r="C285" s="7">
        <v>3</v>
      </c>
      <c r="D285" s="18"/>
    </row>
    <row r="286" spans="2:4" x14ac:dyDescent="0.25">
      <c r="B286" s="11" t="s">
        <v>282</v>
      </c>
      <c r="C286" s="7">
        <v>3</v>
      </c>
      <c r="D286" s="18"/>
    </row>
    <row r="287" spans="2:4" x14ac:dyDescent="0.25">
      <c r="B287" s="20" t="s">
        <v>283</v>
      </c>
      <c r="C287" s="20"/>
      <c r="D287" s="20"/>
    </row>
    <row r="288" spans="2:4" x14ac:dyDescent="0.25">
      <c r="B288" s="11" t="s">
        <v>284</v>
      </c>
      <c r="C288" s="7">
        <v>1</v>
      </c>
      <c r="D288" s="18">
        <f>+AVERAGE(C288:C292)</f>
        <v>2.2000000000000002</v>
      </c>
    </row>
    <row r="289" spans="2:4" x14ac:dyDescent="0.25">
      <c r="B289" s="11" t="s">
        <v>285</v>
      </c>
      <c r="C289" s="7">
        <v>3</v>
      </c>
      <c r="D289" s="18"/>
    </row>
    <row r="290" spans="2:4" x14ac:dyDescent="0.25">
      <c r="B290" s="11" t="s">
        <v>286</v>
      </c>
      <c r="C290" s="7">
        <v>1</v>
      </c>
      <c r="D290" s="18"/>
    </row>
    <row r="291" spans="2:4" x14ac:dyDescent="0.25">
      <c r="B291" s="11" t="s">
        <v>287</v>
      </c>
      <c r="C291" s="7">
        <v>3</v>
      </c>
      <c r="D291" s="18"/>
    </row>
    <row r="292" spans="2:4" x14ac:dyDescent="0.25">
      <c r="B292" s="11" t="s">
        <v>288</v>
      </c>
      <c r="C292" s="7">
        <v>3</v>
      </c>
      <c r="D292" s="18"/>
    </row>
    <row r="293" spans="2:4" x14ac:dyDescent="0.25">
      <c r="B293" s="20" t="s">
        <v>289</v>
      </c>
      <c r="C293" s="20"/>
      <c r="D293" s="20"/>
    </row>
    <row r="294" spans="2:4" x14ac:dyDescent="0.25">
      <c r="B294" s="11" t="s">
        <v>290</v>
      </c>
      <c r="C294" s="7">
        <v>1</v>
      </c>
      <c r="D294" s="18">
        <f>+AVERAGE(C294:C298)</f>
        <v>2.2000000000000002</v>
      </c>
    </row>
    <row r="295" spans="2:4" x14ac:dyDescent="0.25">
      <c r="B295" s="11" t="s">
        <v>291</v>
      </c>
      <c r="C295" s="7">
        <v>3</v>
      </c>
      <c r="D295" s="18"/>
    </row>
    <row r="296" spans="2:4" x14ac:dyDescent="0.25">
      <c r="B296" s="11" t="s">
        <v>292</v>
      </c>
      <c r="C296" s="7">
        <v>1</v>
      </c>
      <c r="D296" s="18"/>
    </row>
    <row r="297" spans="2:4" x14ac:dyDescent="0.25">
      <c r="B297" s="11" t="s">
        <v>293</v>
      </c>
      <c r="C297" s="7">
        <v>3</v>
      </c>
      <c r="D297" s="18"/>
    </row>
    <row r="298" spans="2:4" x14ac:dyDescent="0.25">
      <c r="B298" s="11" t="s">
        <v>294</v>
      </c>
      <c r="C298" s="7">
        <v>3</v>
      </c>
      <c r="D298" s="18"/>
    </row>
    <row r="299" spans="2:4" x14ac:dyDescent="0.25">
      <c r="B299" s="14" t="s">
        <v>295</v>
      </c>
      <c r="C299" s="17">
        <f>+((D301+D307+D313)/3)/10</f>
        <v>0.22000000000000003</v>
      </c>
      <c r="D299" s="17"/>
    </row>
    <row r="300" spans="2:4" x14ac:dyDescent="0.25">
      <c r="B300" s="20" t="s">
        <v>296</v>
      </c>
      <c r="C300" s="20"/>
      <c r="D300" s="20"/>
    </row>
    <row r="301" spans="2:4" x14ac:dyDescent="0.25">
      <c r="B301" s="11" t="s">
        <v>297</v>
      </c>
      <c r="C301" s="7">
        <v>1</v>
      </c>
      <c r="D301" s="18">
        <f>+AVERAGE(C301:C305)</f>
        <v>2.2000000000000002</v>
      </c>
    </row>
    <row r="302" spans="2:4" x14ac:dyDescent="0.25">
      <c r="B302" s="11" t="s">
        <v>298</v>
      </c>
      <c r="C302" s="7">
        <v>3</v>
      </c>
      <c r="D302" s="18"/>
    </row>
    <row r="303" spans="2:4" x14ac:dyDescent="0.25">
      <c r="B303" s="11" t="s">
        <v>299</v>
      </c>
      <c r="C303" s="7">
        <v>1</v>
      </c>
      <c r="D303" s="18"/>
    </row>
    <row r="304" spans="2:4" x14ac:dyDescent="0.25">
      <c r="B304" s="11" t="s">
        <v>300</v>
      </c>
      <c r="C304" s="7">
        <v>3</v>
      </c>
      <c r="D304" s="18"/>
    </row>
    <row r="305" spans="2:4" x14ac:dyDescent="0.25">
      <c r="B305" s="11" t="s">
        <v>301</v>
      </c>
      <c r="C305" s="7">
        <v>3</v>
      </c>
      <c r="D305" s="18"/>
    </row>
    <row r="306" spans="2:4" x14ac:dyDescent="0.25">
      <c r="B306" s="20" t="s">
        <v>302</v>
      </c>
      <c r="C306" s="20"/>
      <c r="D306" s="20"/>
    </row>
    <row r="307" spans="2:4" x14ac:dyDescent="0.25">
      <c r="B307" s="10" t="s">
        <v>303</v>
      </c>
      <c r="C307" s="7">
        <v>1</v>
      </c>
      <c r="D307" s="18">
        <f>+AVERAGE(C307:C311)</f>
        <v>2.2000000000000002</v>
      </c>
    </row>
    <row r="308" spans="2:4" x14ac:dyDescent="0.25">
      <c r="B308" s="10" t="s">
        <v>304</v>
      </c>
      <c r="C308" s="7">
        <v>3</v>
      </c>
      <c r="D308" s="18"/>
    </row>
    <row r="309" spans="2:4" x14ac:dyDescent="0.25">
      <c r="B309" s="10" t="s">
        <v>305</v>
      </c>
      <c r="C309" s="7">
        <v>1</v>
      </c>
      <c r="D309" s="18"/>
    </row>
    <row r="310" spans="2:4" x14ac:dyDescent="0.25">
      <c r="B310" s="10" t="s">
        <v>306</v>
      </c>
      <c r="C310" s="7">
        <v>3</v>
      </c>
      <c r="D310" s="18"/>
    </row>
    <row r="311" spans="2:4" x14ac:dyDescent="0.25">
      <c r="B311" s="10" t="s">
        <v>307</v>
      </c>
      <c r="C311" s="7">
        <v>3</v>
      </c>
      <c r="D311" s="18"/>
    </row>
    <row r="312" spans="2:4" x14ac:dyDescent="0.25">
      <c r="B312" s="20" t="s">
        <v>314</v>
      </c>
      <c r="C312" s="20"/>
      <c r="D312" s="20"/>
    </row>
    <row r="313" spans="2:4" x14ac:dyDescent="0.25">
      <c r="B313" s="11" t="s">
        <v>308</v>
      </c>
      <c r="C313" s="7">
        <v>1</v>
      </c>
      <c r="D313" s="18">
        <f>+AVERAGE(C313:C317)</f>
        <v>2.2000000000000002</v>
      </c>
    </row>
    <row r="314" spans="2:4" x14ac:dyDescent="0.25">
      <c r="B314" s="11" t="s">
        <v>309</v>
      </c>
      <c r="C314" s="7">
        <v>3</v>
      </c>
      <c r="D314" s="18"/>
    </row>
    <row r="315" spans="2:4" x14ac:dyDescent="0.25">
      <c r="B315" s="11" t="s">
        <v>310</v>
      </c>
      <c r="C315" s="7">
        <v>1</v>
      </c>
      <c r="D315" s="18"/>
    </row>
    <row r="316" spans="2:4" x14ac:dyDescent="0.25">
      <c r="B316" s="11" t="s">
        <v>311</v>
      </c>
      <c r="C316" s="7">
        <v>3</v>
      </c>
      <c r="D316" s="18"/>
    </row>
    <row r="317" spans="2:4" x14ac:dyDescent="0.25">
      <c r="B317" s="11" t="s">
        <v>312</v>
      </c>
      <c r="C317" s="7">
        <v>3</v>
      </c>
      <c r="D317" s="18"/>
    </row>
    <row r="318" spans="2:4" x14ac:dyDescent="0.25">
      <c r="B318" s="13" t="s">
        <v>313</v>
      </c>
      <c r="C318" s="17">
        <f>+((D320+D326+D332+D338)/4)/10</f>
        <v>0.22000000000000003</v>
      </c>
      <c r="D318" s="17"/>
    </row>
    <row r="319" spans="2:4" x14ac:dyDescent="0.25">
      <c r="B319" s="20" t="s">
        <v>315</v>
      </c>
      <c r="C319" s="20"/>
      <c r="D319" s="20"/>
    </row>
    <row r="320" spans="2:4" x14ac:dyDescent="0.25">
      <c r="B320" s="11" t="s">
        <v>316</v>
      </c>
      <c r="C320" s="7">
        <v>1</v>
      </c>
      <c r="D320" s="18">
        <f>+AVERAGE(C320:C324)</f>
        <v>2.2000000000000002</v>
      </c>
    </row>
    <row r="321" spans="2:4" x14ac:dyDescent="0.25">
      <c r="B321" s="11" t="s">
        <v>317</v>
      </c>
      <c r="C321" s="7">
        <v>3</v>
      </c>
      <c r="D321" s="18"/>
    </row>
    <row r="322" spans="2:4" x14ac:dyDescent="0.25">
      <c r="B322" s="11" t="s">
        <v>318</v>
      </c>
      <c r="C322" s="7">
        <v>1</v>
      </c>
      <c r="D322" s="18"/>
    </row>
    <row r="323" spans="2:4" x14ac:dyDescent="0.25">
      <c r="B323" s="11" t="s">
        <v>319</v>
      </c>
      <c r="C323" s="7">
        <v>3</v>
      </c>
      <c r="D323" s="18"/>
    </row>
    <row r="324" spans="2:4" x14ac:dyDescent="0.25">
      <c r="B324" s="11" t="s">
        <v>320</v>
      </c>
      <c r="C324" s="7">
        <v>3</v>
      </c>
      <c r="D324" s="18"/>
    </row>
    <row r="325" spans="2:4" x14ac:dyDescent="0.25">
      <c r="B325" s="20" t="s">
        <v>321</v>
      </c>
      <c r="C325" s="20"/>
      <c r="D325" s="20"/>
    </row>
    <row r="326" spans="2:4" x14ac:dyDescent="0.25">
      <c r="B326" s="10" t="s">
        <v>322</v>
      </c>
      <c r="C326" s="7">
        <v>1</v>
      </c>
      <c r="D326" s="18">
        <f>+AVERAGE(C326:C330)</f>
        <v>2.2000000000000002</v>
      </c>
    </row>
    <row r="327" spans="2:4" x14ac:dyDescent="0.25">
      <c r="B327" s="10" t="s">
        <v>323</v>
      </c>
      <c r="C327" s="7">
        <v>3</v>
      </c>
      <c r="D327" s="18"/>
    </row>
    <row r="328" spans="2:4" x14ac:dyDescent="0.25">
      <c r="B328" s="10" t="s">
        <v>324</v>
      </c>
      <c r="C328" s="7">
        <v>1</v>
      </c>
      <c r="D328" s="18"/>
    </row>
    <row r="329" spans="2:4" x14ac:dyDescent="0.25">
      <c r="B329" s="10" t="s">
        <v>325</v>
      </c>
      <c r="C329" s="7">
        <v>3</v>
      </c>
      <c r="D329" s="18"/>
    </row>
    <row r="330" spans="2:4" x14ac:dyDescent="0.25">
      <c r="B330" s="10" t="s">
        <v>326</v>
      </c>
      <c r="C330" s="7">
        <v>3</v>
      </c>
      <c r="D330" s="18"/>
    </row>
    <row r="331" spans="2:4" x14ac:dyDescent="0.25">
      <c r="B331" s="20" t="s">
        <v>327</v>
      </c>
      <c r="C331" s="20"/>
      <c r="D331" s="20"/>
    </row>
    <row r="332" spans="2:4" x14ac:dyDescent="0.25">
      <c r="B332" s="11" t="s">
        <v>328</v>
      </c>
      <c r="C332" s="7">
        <v>1</v>
      </c>
      <c r="D332" s="18">
        <f>+AVERAGE(C332:C336)</f>
        <v>2.2000000000000002</v>
      </c>
    </row>
    <row r="333" spans="2:4" x14ac:dyDescent="0.25">
      <c r="B333" s="11" t="s">
        <v>329</v>
      </c>
      <c r="C333" s="7">
        <v>3</v>
      </c>
      <c r="D333" s="18"/>
    </row>
    <row r="334" spans="2:4" x14ac:dyDescent="0.25">
      <c r="B334" s="11" t="s">
        <v>330</v>
      </c>
      <c r="C334" s="7">
        <v>1</v>
      </c>
      <c r="D334" s="18"/>
    </row>
    <row r="335" spans="2:4" x14ac:dyDescent="0.25">
      <c r="B335" s="11" t="s">
        <v>331</v>
      </c>
      <c r="C335" s="7">
        <v>3</v>
      </c>
      <c r="D335" s="18"/>
    </row>
    <row r="336" spans="2:4" x14ac:dyDescent="0.25">
      <c r="B336" s="11" t="s">
        <v>332</v>
      </c>
      <c r="C336" s="7">
        <v>3</v>
      </c>
      <c r="D336" s="18"/>
    </row>
    <row r="337" spans="2:4" x14ac:dyDescent="0.25">
      <c r="B337" s="20" t="s">
        <v>333</v>
      </c>
      <c r="C337" s="20"/>
      <c r="D337" s="20"/>
    </row>
    <row r="338" spans="2:4" x14ac:dyDescent="0.25">
      <c r="B338" s="11" t="s">
        <v>334</v>
      </c>
      <c r="C338" s="7">
        <v>1</v>
      </c>
      <c r="D338" s="18">
        <f>+AVERAGE(C338:C342)</f>
        <v>2.2000000000000002</v>
      </c>
    </row>
    <row r="339" spans="2:4" x14ac:dyDescent="0.25">
      <c r="B339" s="11" t="s">
        <v>335</v>
      </c>
      <c r="C339" s="7">
        <v>3</v>
      </c>
      <c r="D339" s="18"/>
    </row>
    <row r="340" spans="2:4" x14ac:dyDescent="0.25">
      <c r="B340" s="11" t="s">
        <v>336</v>
      </c>
      <c r="C340" s="7">
        <v>1</v>
      </c>
      <c r="D340" s="18"/>
    </row>
    <row r="341" spans="2:4" x14ac:dyDescent="0.25">
      <c r="B341" s="11" t="s">
        <v>337</v>
      </c>
      <c r="C341" s="7">
        <v>3</v>
      </c>
      <c r="D341" s="18"/>
    </row>
    <row r="342" spans="2:4" x14ac:dyDescent="0.25">
      <c r="B342" s="11" t="s">
        <v>338</v>
      </c>
      <c r="C342" s="7">
        <v>3</v>
      </c>
      <c r="D342" s="18"/>
    </row>
  </sheetData>
  <mergeCells count="122">
    <mergeCell ref="D30:D34"/>
    <mergeCell ref="B35:D35"/>
    <mergeCell ref="D36:D40"/>
    <mergeCell ref="B17:D17"/>
    <mergeCell ref="D18:D22"/>
    <mergeCell ref="B23:D23"/>
    <mergeCell ref="D24:D28"/>
    <mergeCell ref="B29:D29"/>
    <mergeCell ref="D6:D10"/>
    <mergeCell ref="B11:D11"/>
    <mergeCell ref="B5:D5"/>
    <mergeCell ref="D12:D16"/>
    <mergeCell ref="B60:D60"/>
    <mergeCell ref="D61:D65"/>
    <mergeCell ref="B66:D66"/>
    <mergeCell ref="D67:D71"/>
    <mergeCell ref="B72:D72"/>
    <mergeCell ref="D73:D77"/>
    <mergeCell ref="B42:D42"/>
    <mergeCell ref="D43:D47"/>
    <mergeCell ref="B48:D48"/>
    <mergeCell ref="D49:D53"/>
    <mergeCell ref="B54:D54"/>
    <mergeCell ref="D55:D59"/>
    <mergeCell ref="B96:D96"/>
    <mergeCell ref="D97:D101"/>
    <mergeCell ref="B103:D103"/>
    <mergeCell ref="D104:D108"/>
    <mergeCell ref="B109:D109"/>
    <mergeCell ref="D110:D114"/>
    <mergeCell ref="B78:D78"/>
    <mergeCell ref="D79:D83"/>
    <mergeCell ref="B84:D84"/>
    <mergeCell ref="D85:D89"/>
    <mergeCell ref="B90:D90"/>
    <mergeCell ref="D91:D95"/>
    <mergeCell ref="B133:D133"/>
    <mergeCell ref="D134:D138"/>
    <mergeCell ref="B140:D140"/>
    <mergeCell ref="D141:D145"/>
    <mergeCell ref="B146:D146"/>
    <mergeCell ref="D147:D151"/>
    <mergeCell ref="B115:D115"/>
    <mergeCell ref="D116:D120"/>
    <mergeCell ref="B121:D121"/>
    <mergeCell ref="D122:D126"/>
    <mergeCell ref="B127:D127"/>
    <mergeCell ref="D128:D132"/>
    <mergeCell ref="B171:D171"/>
    <mergeCell ref="D172:D176"/>
    <mergeCell ref="B177:D177"/>
    <mergeCell ref="D178:D182"/>
    <mergeCell ref="B183:D183"/>
    <mergeCell ref="D184:D188"/>
    <mergeCell ref="B152:D152"/>
    <mergeCell ref="D153:D157"/>
    <mergeCell ref="B158:D158"/>
    <mergeCell ref="D159:D163"/>
    <mergeCell ref="B164:D164"/>
    <mergeCell ref="D165:D169"/>
    <mergeCell ref="B207:D207"/>
    <mergeCell ref="D208:D212"/>
    <mergeCell ref="B213:D213"/>
    <mergeCell ref="D214:D218"/>
    <mergeCell ref="B219:D219"/>
    <mergeCell ref="D220:D224"/>
    <mergeCell ref="B189:D189"/>
    <mergeCell ref="D190:D194"/>
    <mergeCell ref="B195:D195"/>
    <mergeCell ref="D196:D200"/>
    <mergeCell ref="B201:D201"/>
    <mergeCell ref="D202:D206"/>
    <mergeCell ref="B244:D244"/>
    <mergeCell ref="D245:D249"/>
    <mergeCell ref="B250:D250"/>
    <mergeCell ref="D251:D255"/>
    <mergeCell ref="B256:D256"/>
    <mergeCell ref="D257:D261"/>
    <mergeCell ref="B225:D225"/>
    <mergeCell ref="D226:D230"/>
    <mergeCell ref="B232:D232"/>
    <mergeCell ref="D233:D237"/>
    <mergeCell ref="B238:D238"/>
    <mergeCell ref="D239:D243"/>
    <mergeCell ref="B312:D312"/>
    <mergeCell ref="D313:D317"/>
    <mergeCell ref="B281:D281"/>
    <mergeCell ref="D282:D286"/>
    <mergeCell ref="B287:D287"/>
    <mergeCell ref="D288:D292"/>
    <mergeCell ref="B293:D293"/>
    <mergeCell ref="D294:D298"/>
    <mergeCell ref="B262:D262"/>
    <mergeCell ref="D263:D267"/>
    <mergeCell ref="B269:D269"/>
    <mergeCell ref="D270:D274"/>
    <mergeCell ref="B275:D275"/>
    <mergeCell ref="D276:D280"/>
    <mergeCell ref="C318:D318"/>
    <mergeCell ref="C2:D2"/>
    <mergeCell ref="C1:D1"/>
    <mergeCell ref="A6:A10"/>
    <mergeCell ref="B337:D337"/>
    <mergeCell ref="D338:D342"/>
    <mergeCell ref="C4:D4"/>
    <mergeCell ref="C41:D41"/>
    <mergeCell ref="C102:D102"/>
    <mergeCell ref="C139:D139"/>
    <mergeCell ref="C170:D170"/>
    <mergeCell ref="C231:D231"/>
    <mergeCell ref="C268:D268"/>
    <mergeCell ref="C299:D299"/>
    <mergeCell ref="B319:D319"/>
    <mergeCell ref="D320:D324"/>
    <mergeCell ref="B325:D325"/>
    <mergeCell ref="D326:D330"/>
    <mergeCell ref="B331:D331"/>
    <mergeCell ref="D332:D336"/>
    <mergeCell ref="B300:D300"/>
    <mergeCell ref="D301:D305"/>
    <mergeCell ref="B306:D306"/>
    <mergeCell ref="D307:D311"/>
  </mergeCells>
  <dataValidations count="5">
    <dataValidation type="list" allowBlank="1" showInputMessage="1" showErrorMessage="1" sqref="C301:C305 J5:M21 C6:C10 C12:C16 C18:C22 C326:C330 C30:C34 C36:C40 C43:C47 C49:C53 C55:C59 C61:C65 C67:C71 C73:C77 C79:C83 C24:C28 C91:C95 C97:C101 C104:C108 C110:C114 C116:C120 C85:C89 C128:C132 C134:C138 C141:C145 C147:C151 C122:C126 C159:C163 C165:C169 C172:C176 C178:C182 C184:C188 C190:C194 C196:C200 C202:C206 C208:C212 C153:C157 C220:C224 C226:C230 C233:C237 C239:C243 C245:C249 C214:C218 C257:C261 C263:C267 C270:C274 C276:C280 C251:C255 C288:C292 C294:C298 C282:C286 C307:C311 C313:C317 C320:C324 C332:C336 C338:C342" xr:uid="{34B4283A-0F1A-4336-8FBA-B037D8E214B8}">
      <formula1>CALIFICACION</formula1>
    </dataValidation>
    <dataValidation type="list" allowBlank="1" showInputMessage="1" showErrorMessage="1" sqref="A2" xr:uid="{5473DE3F-2CED-4C3C-AFC8-C7229FB1D665}">
      <formula1>Cantón</formula1>
    </dataValidation>
    <dataValidation type="list" allowBlank="1" showInputMessage="1" showErrorMessage="1" sqref="C2" xr:uid="{DFD3AFEB-24C6-4D55-9F2F-184E4855E40E}">
      <formula1>Tipo_de_cantón</formula1>
    </dataValidation>
    <dataValidation type="list" allowBlank="1" showInputMessage="1" showErrorMessage="1" sqref="A5" xr:uid="{4DE89CF2-E926-4B6F-B569-9A7CC290C9B9}">
      <formula1>Código</formula1>
    </dataValidation>
    <dataValidation type="list" allowBlank="1" showInputMessage="1" showErrorMessage="1" sqref="F5:F21" xr:uid="{13204673-F8E1-4DEA-8BAB-935FEE5067B1}">
      <formula1>Evento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4814-BFDA-4CA4-9B99-E06AC70573F1}">
  <dimension ref="A1:AF220"/>
  <sheetViews>
    <sheetView topLeftCell="J1" workbookViewId="0">
      <selection activeCell="M4" sqref="M4"/>
    </sheetView>
  </sheetViews>
  <sheetFormatPr baseColWidth="10" defaultRowHeight="15" x14ac:dyDescent="0.25"/>
  <cols>
    <col min="5" max="5" width="15.7109375" customWidth="1"/>
    <col min="7" max="7" width="14.7109375" customWidth="1"/>
    <col min="10" max="10" width="65.42578125" customWidth="1"/>
    <col min="15" max="15" width="37.5703125" customWidth="1"/>
    <col min="16" max="16" width="44" customWidth="1"/>
    <col min="17" max="17" width="44.85546875" customWidth="1"/>
    <col min="18" max="18" width="53.140625" customWidth="1"/>
    <col min="28" max="28" width="45.5703125" customWidth="1"/>
    <col min="29" max="29" width="51" customWidth="1"/>
  </cols>
  <sheetData>
    <row r="1" spans="1:32" ht="16.5" customHeight="1" x14ac:dyDescent="0.25">
      <c r="D1" s="5" t="s">
        <v>340</v>
      </c>
      <c r="E1" s="5" t="s">
        <v>339</v>
      </c>
      <c r="G1" s="1" t="s">
        <v>574</v>
      </c>
      <c r="J1" s="5" t="s">
        <v>580</v>
      </c>
      <c r="K1" t="s">
        <v>591</v>
      </c>
      <c r="L1" t="s">
        <v>592</v>
      </c>
      <c r="M1" s="5" t="s">
        <v>590</v>
      </c>
      <c r="P1" t="s">
        <v>833</v>
      </c>
      <c r="Q1" t="s">
        <v>835</v>
      </c>
      <c r="R1" t="s">
        <v>834</v>
      </c>
      <c r="AA1" s="5" t="s">
        <v>595</v>
      </c>
      <c r="AB1" s="5" t="s">
        <v>596</v>
      </c>
      <c r="AC1" s="5" t="s">
        <v>597</v>
      </c>
      <c r="AD1" s="5" t="s">
        <v>598</v>
      </c>
      <c r="AE1" s="5" t="s">
        <v>599</v>
      </c>
      <c r="AF1" s="5" t="s">
        <v>600</v>
      </c>
    </row>
    <row r="2" spans="1:32" ht="16.5" customHeight="1" x14ac:dyDescent="0.25">
      <c r="A2">
        <v>1</v>
      </c>
      <c r="D2" s="2" t="s">
        <v>499</v>
      </c>
      <c r="E2" s="2" t="s">
        <v>484</v>
      </c>
      <c r="G2" t="s">
        <v>575</v>
      </c>
      <c r="J2" t="s">
        <v>20</v>
      </c>
      <c r="K2">
        <v>3.3846153846153846</v>
      </c>
      <c r="L2">
        <f>+K2/5</f>
        <v>0.67692307692307696</v>
      </c>
      <c r="M2">
        <f>+L2/$L$11</f>
        <v>0.12464589235127481</v>
      </c>
      <c r="P2" t="s">
        <v>772</v>
      </c>
      <c r="Q2" t="s">
        <v>777</v>
      </c>
      <c r="R2" t="s">
        <v>771</v>
      </c>
      <c r="AA2" s="2" t="s">
        <v>601</v>
      </c>
      <c r="AB2" s="2" t="s">
        <v>602</v>
      </c>
      <c r="AC2" s="2" t="s">
        <v>603</v>
      </c>
      <c r="AD2" s="2" t="s">
        <v>604</v>
      </c>
      <c r="AE2" s="2" t="s">
        <v>605</v>
      </c>
      <c r="AF2" s="2" t="s">
        <v>606</v>
      </c>
    </row>
    <row r="3" spans="1:32" ht="16.5" customHeight="1" x14ac:dyDescent="0.25">
      <c r="A3">
        <v>2</v>
      </c>
      <c r="D3" s="2" t="s">
        <v>526</v>
      </c>
      <c r="E3" s="2" t="s">
        <v>524</v>
      </c>
      <c r="G3" t="s">
        <v>576</v>
      </c>
      <c r="J3" t="s">
        <v>49</v>
      </c>
      <c r="K3">
        <v>3.1538461538461537</v>
      </c>
      <c r="L3">
        <f t="shared" ref="L3:L10" si="0">+K3/5</f>
        <v>0.63076923076923075</v>
      </c>
      <c r="M3">
        <f t="shared" ref="M3:M10" si="1">+L3/$L$11</f>
        <v>0.1161473087818697</v>
      </c>
      <c r="P3" t="s">
        <v>773</v>
      </c>
      <c r="Q3" t="s">
        <v>777</v>
      </c>
      <c r="R3" t="s">
        <v>771</v>
      </c>
      <c r="AA3" s="2" t="s">
        <v>607</v>
      </c>
      <c r="AB3" s="2" t="s">
        <v>602</v>
      </c>
      <c r="AC3" s="2" t="s">
        <v>608</v>
      </c>
      <c r="AD3" s="2" t="s">
        <v>604</v>
      </c>
      <c r="AE3" s="2" t="s">
        <v>605</v>
      </c>
      <c r="AF3" s="2" t="s">
        <v>605</v>
      </c>
    </row>
    <row r="4" spans="1:32" ht="16.5" customHeight="1" x14ac:dyDescent="0.25">
      <c r="A4">
        <v>3</v>
      </c>
      <c r="D4" s="2" t="s">
        <v>380</v>
      </c>
      <c r="E4" s="2" t="s">
        <v>378</v>
      </c>
      <c r="G4" t="s">
        <v>577</v>
      </c>
      <c r="J4" t="s">
        <v>98</v>
      </c>
      <c r="K4">
        <v>3.0769230769230771</v>
      </c>
      <c r="L4">
        <f t="shared" si="0"/>
        <v>0.61538461538461542</v>
      </c>
      <c r="M4">
        <f t="shared" si="1"/>
        <v>0.113314447592068</v>
      </c>
      <c r="P4" t="s">
        <v>774</v>
      </c>
      <c r="Q4" t="s">
        <v>777</v>
      </c>
      <c r="R4" t="s">
        <v>771</v>
      </c>
      <c r="AA4" s="2" t="s">
        <v>609</v>
      </c>
      <c r="AB4" s="2" t="s">
        <v>602</v>
      </c>
      <c r="AC4" s="2" t="s">
        <v>610</v>
      </c>
      <c r="AD4" s="2" t="s">
        <v>604</v>
      </c>
      <c r="AE4" s="2" t="s">
        <v>605</v>
      </c>
      <c r="AF4" s="2" t="s">
        <v>605</v>
      </c>
    </row>
    <row r="5" spans="1:32" ht="16.5" customHeight="1" x14ac:dyDescent="0.25">
      <c r="A5">
        <v>4</v>
      </c>
      <c r="D5" s="2" t="s">
        <v>555</v>
      </c>
      <c r="E5" s="2" t="s">
        <v>554</v>
      </c>
      <c r="G5" t="s">
        <v>578</v>
      </c>
      <c r="J5" t="s">
        <v>135</v>
      </c>
      <c r="K5">
        <v>2.8461538461538463</v>
      </c>
      <c r="L5">
        <f t="shared" si="0"/>
        <v>0.56923076923076921</v>
      </c>
      <c r="M5">
        <f t="shared" si="1"/>
        <v>0.10481586402266289</v>
      </c>
      <c r="P5" t="s">
        <v>775</v>
      </c>
      <c r="Q5" t="s">
        <v>777</v>
      </c>
      <c r="R5" t="s">
        <v>771</v>
      </c>
      <c r="AA5" s="2" t="s">
        <v>611</v>
      </c>
      <c r="AB5" s="2" t="s">
        <v>602</v>
      </c>
      <c r="AC5" s="2" t="s">
        <v>612</v>
      </c>
      <c r="AD5" s="2" t="s">
        <v>613</v>
      </c>
      <c r="AE5" s="2" t="s">
        <v>605</v>
      </c>
      <c r="AF5" s="2" t="s">
        <v>606</v>
      </c>
    </row>
    <row r="6" spans="1:32" ht="16.5" customHeight="1" x14ac:dyDescent="0.25">
      <c r="A6">
        <v>5</v>
      </c>
      <c r="D6" s="2" t="s">
        <v>449</v>
      </c>
      <c r="E6" s="2" t="s">
        <v>447</v>
      </c>
      <c r="G6" t="s">
        <v>579</v>
      </c>
      <c r="J6" t="s">
        <v>588</v>
      </c>
      <c r="K6">
        <v>3</v>
      </c>
      <c r="L6">
        <f t="shared" si="0"/>
        <v>0.6</v>
      </c>
      <c r="M6">
        <f t="shared" si="1"/>
        <v>0.1104815864022663</v>
      </c>
      <c r="P6" t="s">
        <v>776</v>
      </c>
      <c r="Q6" t="s">
        <v>777</v>
      </c>
      <c r="R6" t="s">
        <v>771</v>
      </c>
      <c r="AA6" s="2" t="s">
        <v>614</v>
      </c>
      <c r="AB6" s="2" t="s">
        <v>602</v>
      </c>
      <c r="AC6" s="2" t="s">
        <v>615</v>
      </c>
      <c r="AD6" s="2" t="s">
        <v>616</v>
      </c>
      <c r="AE6" s="2" t="s">
        <v>605</v>
      </c>
      <c r="AF6" s="2" t="s">
        <v>606</v>
      </c>
    </row>
    <row r="7" spans="1:32" ht="16.5" customHeight="1" x14ac:dyDescent="0.25">
      <c r="A7">
        <v>6</v>
      </c>
      <c r="D7" s="2" t="s">
        <v>532</v>
      </c>
      <c r="E7" s="2" t="s">
        <v>529</v>
      </c>
      <c r="J7" t="s">
        <v>227</v>
      </c>
      <c r="K7">
        <v>3</v>
      </c>
      <c r="L7">
        <f t="shared" si="0"/>
        <v>0.6</v>
      </c>
      <c r="M7">
        <f t="shared" si="1"/>
        <v>0.1104815864022663</v>
      </c>
      <c r="P7" t="s">
        <v>779</v>
      </c>
      <c r="Q7" t="s">
        <v>778</v>
      </c>
      <c r="R7" t="s">
        <v>771</v>
      </c>
      <c r="AA7" s="2" t="s">
        <v>617</v>
      </c>
      <c r="AB7" s="2" t="s">
        <v>602</v>
      </c>
      <c r="AC7" s="2" t="s">
        <v>618</v>
      </c>
      <c r="AD7" s="2" t="s">
        <v>619</v>
      </c>
      <c r="AE7" s="2" t="s">
        <v>605</v>
      </c>
      <c r="AF7" s="2" t="s">
        <v>606</v>
      </c>
    </row>
    <row r="8" spans="1:32" ht="16.5" customHeight="1" x14ac:dyDescent="0.25">
      <c r="A8">
        <v>7</v>
      </c>
      <c r="D8" s="2" t="s">
        <v>520</v>
      </c>
      <c r="E8" s="2" t="s">
        <v>518</v>
      </c>
      <c r="J8" t="s">
        <v>264</v>
      </c>
      <c r="K8">
        <v>2.7692307692307692</v>
      </c>
      <c r="L8">
        <f t="shared" si="0"/>
        <v>0.55384615384615388</v>
      </c>
      <c r="M8">
        <f t="shared" si="1"/>
        <v>0.10198300283286121</v>
      </c>
      <c r="P8" t="s">
        <v>780</v>
      </c>
      <c r="Q8" t="s">
        <v>778</v>
      </c>
      <c r="R8" t="s">
        <v>771</v>
      </c>
      <c r="AA8" s="2" t="s">
        <v>620</v>
      </c>
      <c r="AB8" s="2" t="s">
        <v>621</v>
      </c>
      <c r="AC8" s="2" t="s">
        <v>622</v>
      </c>
      <c r="AD8" s="2" t="s">
        <v>623</v>
      </c>
      <c r="AE8" s="2" t="s">
        <v>624</v>
      </c>
      <c r="AF8" s="2" t="s">
        <v>625</v>
      </c>
    </row>
    <row r="9" spans="1:32" ht="16.5" customHeight="1" x14ac:dyDescent="0.25">
      <c r="A9">
        <v>8</v>
      </c>
      <c r="D9" s="2" t="s">
        <v>399</v>
      </c>
      <c r="E9" s="2" t="s">
        <v>397</v>
      </c>
      <c r="J9" t="s">
        <v>589</v>
      </c>
      <c r="K9">
        <v>2.9230769230769229</v>
      </c>
      <c r="L9">
        <f t="shared" si="0"/>
        <v>0.58461538461538454</v>
      </c>
      <c r="M9">
        <f t="shared" si="1"/>
        <v>0.10764872521246459</v>
      </c>
      <c r="P9" t="s">
        <v>781</v>
      </c>
      <c r="Q9" t="s">
        <v>778</v>
      </c>
      <c r="R9" t="s">
        <v>771</v>
      </c>
      <c r="AA9" s="2" t="s">
        <v>626</v>
      </c>
      <c r="AB9" s="2" t="s">
        <v>621</v>
      </c>
      <c r="AC9" s="2" t="s">
        <v>627</v>
      </c>
      <c r="AD9" s="2" t="s">
        <v>628</v>
      </c>
      <c r="AE9" s="2" t="s">
        <v>629</v>
      </c>
      <c r="AF9" s="2" t="s">
        <v>630</v>
      </c>
    </row>
    <row r="10" spans="1:32" ht="16.5" customHeight="1" x14ac:dyDescent="0.25">
      <c r="A10">
        <v>9</v>
      </c>
      <c r="D10" s="2" t="s">
        <v>417</v>
      </c>
      <c r="E10" s="2" t="s">
        <v>412</v>
      </c>
      <c r="J10" t="s">
        <v>313</v>
      </c>
      <c r="K10">
        <v>3</v>
      </c>
      <c r="L10">
        <f t="shared" si="0"/>
        <v>0.6</v>
      </c>
      <c r="M10">
        <f t="shared" si="1"/>
        <v>0.1104815864022663</v>
      </c>
      <c r="P10" t="s">
        <v>782</v>
      </c>
      <c r="Q10" t="s">
        <v>778</v>
      </c>
      <c r="R10" t="s">
        <v>771</v>
      </c>
      <c r="AA10" s="2" t="s">
        <v>631</v>
      </c>
      <c r="AB10" s="2" t="s">
        <v>621</v>
      </c>
      <c r="AC10" s="2" t="s">
        <v>632</v>
      </c>
      <c r="AD10" s="2" t="s">
        <v>633</v>
      </c>
      <c r="AE10" s="2" t="s">
        <v>624</v>
      </c>
      <c r="AF10" s="2" t="s">
        <v>606</v>
      </c>
    </row>
    <row r="11" spans="1:32" ht="16.5" customHeight="1" x14ac:dyDescent="0.25">
      <c r="A11">
        <v>10</v>
      </c>
      <c r="D11" s="2" t="s">
        <v>400</v>
      </c>
      <c r="E11" s="2" t="s">
        <v>397</v>
      </c>
      <c r="L11">
        <f>+SUM(L2:L10)</f>
        <v>5.4307692307692301</v>
      </c>
      <c r="P11" t="s">
        <v>783</v>
      </c>
      <c r="Q11" t="s">
        <v>778</v>
      </c>
      <c r="R11" t="s">
        <v>771</v>
      </c>
      <c r="AA11" s="2" t="s">
        <v>634</v>
      </c>
      <c r="AB11" s="2" t="s">
        <v>621</v>
      </c>
      <c r="AC11" s="2" t="s">
        <v>635</v>
      </c>
      <c r="AD11" s="2" t="s">
        <v>636</v>
      </c>
      <c r="AE11" s="2" t="s">
        <v>624</v>
      </c>
      <c r="AF11" s="2" t="s">
        <v>606</v>
      </c>
    </row>
    <row r="12" spans="1:32" ht="16.5" customHeight="1" x14ac:dyDescent="0.25">
      <c r="D12" s="2" t="s">
        <v>366</v>
      </c>
      <c r="E12" s="2" t="s">
        <v>365</v>
      </c>
      <c r="P12" t="s">
        <v>784</v>
      </c>
      <c r="Q12" t="s">
        <v>778</v>
      </c>
      <c r="R12" t="s">
        <v>771</v>
      </c>
      <c r="AA12" s="2" t="s">
        <v>637</v>
      </c>
      <c r="AB12" s="2" t="s">
        <v>621</v>
      </c>
      <c r="AC12" s="2" t="s">
        <v>638</v>
      </c>
      <c r="AD12" s="2" t="s">
        <v>636</v>
      </c>
      <c r="AE12" s="2" t="s">
        <v>624</v>
      </c>
      <c r="AF12" s="2" t="s">
        <v>606</v>
      </c>
    </row>
    <row r="13" spans="1:32" ht="16.5" customHeight="1" x14ac:dyDescent="0.25">
      <c r="D13" s="2" t="s">
        <v>472</v>
      </c>
      <c r="E13" s="2" t="s">
        <v>470</v>
      </c>
      <c r="J13" s="2"/>
      <c r="P13" t="s">
        <v>785</v>
      </c>
      <c r="Q13" t="s">
        <v>778</v>
      </c>
      <c r="R13" t="s">
        <v>771</v>
      </c>
      <c r="AA13" s="2" t="s">
        <v>639</v>
      </c>
      <c r="AB13" s="2" t="s">
        <v>621</v>
      </c>
      <c r="AC13" s="2" t="s">
        <v>640</v>
      </c>
      <c r="AD13" s="2" t="s">
        <v>636</v>
      </c>
      <c r="AE13" s="2" t="s">
        <v>605</v>
      </c>
      <c r="AF13" s="2" t="s">
        <v>641</v>
      </c>
    </row>
    <row r="14" spans="1:32" ht="16.5" customHeight="1" x14ac:dyDescent="0.25">
      <c r="D14" s="2" t="s">
        <v>471</v>
      </c>
      <c r="E14" s="2" t="s">
        <v>470</v>
      </c>
      <c r="J14" s="2"/>
      <c r="P14" t="s">
        <v>786</v>
      </c>
      <c r="Q14" t="s">
        <v>778</v>
      </c>
      <c r="R14" t="s">
        <v>771</v>
      </c>
      <c r="AA14" s="2" t="s">
        <v>642</v>
      </c>
      <c r="AB14" s="2" t="s">
        <v>621</v>
      </c>
      <c r="AC14" s="2" t="s">
        <v>643</v>
      </c>
      <c r="AD14" s="2" t="s">
        <v>644</v>
      </c>
      <c r="AE14" s="2" t="s">
        <v>605</v>
      </c>
      <c r="AF14" s="2" t="s">
        <v>606</v>
      </c>
    </row>
    <row r="15" spans="1:32" ht="16.5" customHeight="1" x14ac:dyDescent="0.25">
      <c r="D15" s="2" t="s">
        <v>425</v>
      </c>
      <c r="E15" s="2" t="s">
        <v>423</v>
      </c>
      <c r="J15" s="2"/>
      <c r="P15" t="s">
        <v>787</v>
      </c>
      <c r="Q15" t="s">
        <v>778</v>
      </c>
      <c r="R15" t="s">
        <v>771</v>
      </c>
      <c r="AA15" s="2" t="s">
        <v>645</v>
      </c>
      <c r="AB15" s="2" t="s">
        <v>621</v>
      </c>
      <c r="AC15" s="2" t="s">
        <v>646</v>
      </c>
      <c r="AD15" s="2" t="s">
        <v>647</v>
      </c>
      <c r="AE15" s="2" t="s">
        <v>605</v>
      </c>
      <c r="AF15" s="2" t="s">
        <v>606</v>
      </c>
    </row>
    <row r="16" spans="1:32" ht="16.5" customHeight="1" x14ac:dyDescent="0.25">
      <c r="D16" s="2" t="s">
        <v>401</v>
      </c>
      <c r="E16" s="2" t="s">
        <v>397</v>
      </c>
      <c r="J16" s="2"/>
      <c r="P16" t="s">
        <v>789</v>
      </c>
      <c r="Q16" t="s">
        <v>788</v>
      </c>
      <c r="R16" t="s">
        <v>771</v>
      </c>
      <c r="AA16" s="2" t="s">
        <v>648</v>
      </c>
      <c r="AB16" s="2" t="s">
        <v>621</v>
      </c>
      <c r="AC16" s="2" t="s">
        <v>649</v>
      </c>
      <c r="AD16" s="2" t="s">
        <v>650</v>
      </c>
      <c r="AE16" s="2" t="s">
        <v>605</v>
      </c>
      <c r="AF16" s="2" t="s">
        <v>651</v>
      </c>
    </row>
    <row r="17" spans="4:32" ht="16.5" customHeight="1" x14ac:dyDescent="0.25">
      <c r="D17" s="2" t="s">
        <v>426</v>
      </c>
      <c r="E17" s="2" t="s">
        <v>423</v>
      </c>
      <c r="J17" s="2"/>
      <c r="P17" t="s">
        <v>790</v>
      </c>
      <c r="Q17" t="s">
        <v>788</v>
      </c>
      <c r="R17" t="s">
        <v>771</v>
      </c>
      <c r="AA17" s="2" t="s">
        <v>652</v>
      </c>
      <c r="AB17" s="2" t="s">
        <v>621</v>
      </c>
      <c r="AC17" s="2" t="s">
        <v>653</v>
      </c>
      <c r="AD17" s="2" t="s">
        <v>654</v>
      </c>
      <c r="AE17" s="2" t="s">
        <v>605</v>
      </c>
      <c r="AF17" s="2" t="s">
        <v>655</v>
      </c>
    </row>
    <row r="18" spans="4:32" ht="16.5" customHeight="1" x14ac:dyDescent="0.25">
      <c r="D18" s="2" t="s">
        <v>556</v>
      </c>
      <c r="E18" s="2" t="s">
        <v>554</v>
      </c>
      <c r="J18" s="2"/>
      <c r="P18" t="s">
        <v>791</v>
      </c>
      <c r="Q18" t="s">
        <v>788</v>
      </c>
      <c r="R18" t="s">
        <v>771</v>
      </c>
      <c r="AA18" s="2" t="s">
        <v>656</v>
      </c>
      <c r="AB18" s="2" t="s">
        <v>581</v>
      </c>
      <c r="AC18" s="2" t="s">
        <v>657</v>
      </c>
      <c r="AD18" s="2" t="s">
        <v>658</v>
      </c>
      <c r="AE18" s="2" t="s">
        <v>605</v>
      </c>
      <c r="AF18" s="2" t="s">
        <v>659</v>
      </c>
    </row>
    <row r="19" spans="4:32" ht="16.5" customHeight="1" x14ac:dyDescent="0.25">
      <c r="D19" s="2" t="s">
        <v>367</v>
      </c>
      <c r="E19" s="2" t="s">
        <v>365</v>
      </c>
      <c r="J19" s="2"/>
      <c r="P19" t="s">
        <v>792</v>
      </c>
      <c r="Q19" t="s">
        <v>788</v>
      </c>
      <c r="R19" t="s">
        <v>771</v>
      </c>
      <c r="AA19" s="2" t="s">
        <v>660</v>
      </c>
      <c r="AB19" s="2" t="s">
        <v>581</v>
      </c>
      <c r="AC19" s="2" t="s">
        <v>661</v>
      </c>
      <c r="AD19" s="2" t="s">
        <v>662</v>
      </c>
      <c r="AE19" s="2" t="s">
        <v>629</v>
      </c>
      <c r="AF19" s="2" t="s">
        <v>663</v>
      </c>
    </row>
    <row r="20" spans="4:32" ht="16.5" customHeight="1" x14ac:dyDescent="0.25">
      <c r="D20" s="2" t="s">
        <v>357</v>
      </c>
      <c r="E20" s="2" t="s">
        <v>372</v>
      </c>
      <c r="P20" t="s">
        <v>793</v>
      </c>
      <c r="Q20" t="s">
        <v>788</v>
      </c>
      <c r="R20" t="s">
        <v>771</v>
      </c>
      <c r="AA20" s="2" t="s">
        <v>664</v>
      </c>
      <c r="AB20" s="2" t="s">
        <v>581</v>
      </c>
      <c r="AC20" s="2" t="s">
        <v>665</v>
      </c>
      <c r="AD20" s="2" t="s">
        <v>662</v>
      </c>
      <c r="AE20" s="2" t="s">
        <v>605</v>
      </c>
      <c r="AF20" s="2" t="s">
        <v>606</v>
      </c>
    </row>
    <row r="21" spans="4:32" ht="16.5" customHeight="1" x14ac:dyDescent="0.25">
      <c r="D21" s="2" t="s">
        <v>357</v>
      </c>
      <c r="E21" s="2" t="s">
        <v>484</v>
      </c>
      <c r="P21" t="s">
        <v>794</v>
      </c>
      <c r="Q21" t="s">
        <v>788</v>
      </c>
      <c r="R21" t="s">
        <v>771</v>
      </c>
      <c r="AA21" s="2" t="s">
        <v>666</v>
      </c>
      <c r="AB21" s="2" t="s">
        <v>581</v>
      </c>
      <c r="AC21" s="2" t="s">
        <v>667</v>
      </c>
      <c r="AD21" s="2" t="s">
        <v>662</v>
      </c>
      <c r="AE21" s="2" t="s">
        <v>605</v>
      </c>
      <c r="AF21" s="2" t="s">
        <v>606</v>
      </c>
    </row>
    <row r="22" spans="4:32" ht="16.5" customHeight="1" x14ac:dyDescent="0.25">
      <c r="D22" s="2" t="s">
        <v>480</v>
      </c>
      <c r="E22" s="2" t="s">
        <v>470</v>
      </c>
      <c r="P22" t="s">
        <v>796</v>
      </c>
      <c r="Q22" t="s">
        <v>795</v>
      </c>
      <c r="R22" t="s">
        <v>771</v>
      </c>
      <c r="AA22" s="2" t="s">
        <v>668</v>
      </c>
      <c r="AB22" s="2" t="s">
        <v>581</v>
      </c>
      <c r="AC22" s="2" t="s">
        <v>669</v>
      </c>
      <c r="AD22" s="2" t="s">
        <v>670</v>
      </c>
      <c r="AE22" s="2" t="s">
        <v>605</v>
      </c>
      <c r="AF22" s="2" t="s">
        <v>651</v>
      </c>
    </row>
    <row r="23" spans="4:32" ht="16.5" customHeight="1" x14ac:dyDescent="0.25">
      <c r="D23" s="2" t="s">
        <v>363</v>
      </c>
      <c r="E23" s="2" t="s">
        <v>357</v>
      </c>
      <c r="P23" t="s">
        <v>797</v>
      </c>
      <c r="Q23" t="s">
        <v>795</v>
      </c>
      <c r="R23" t="s">
        <v>771</v>
      </c>
      <c r="AA23" s="2" t="s">
        <v>671</v>
      </c>
      <c r="AB23" s="2" t="s">
        <v>581</v>
      </c>
      <c r="AC23" s="2" t="s">
        <v>672</v>
      </c>
      <c r="AD23" s="2" t="s">
        <v>670</v>
      </c>
      <c r="AE23" s="2" t="s">
        <v>605</v>
      </c>
      <c r="AF23" s="2" t="s">
        <v>651</v>
      </c>
    </row>
    <row r="24" spans="4:32" ht="16.5" customHeight="1" x14ac:dyDescent="0.25">
      <c r="D24" s="2" t="s">
        <v>455</v>
      </c>
      <c r="E24" s="2" t="s">
        <v>454</v>
      </c>
      <c r="P24" t="s">
        <v>798</v>
      </c>
      <c r="Q24" t="s">
        <v>795</v>
      </c>
      <c r="R24" t="s">
        <v>771</v>
      </c>
      <c r="AA24" s="2" t="s">
        <v>673</v>
      </c>
      <c r="AB24" s="2" t="s">
        <v>582</v>
      </c>
      <c r="AC24" s="2" t="s">
        <v>674</v>
      </c>
      <c r="AD24" s="2" t="s">
        <v>624</v>
      </c>
      <c r="AE24" s="2" t="s">
        <v>629</v>
      </c>
      <c r="AF24" s="2" t="s">
        <v>641</v>
      </c>
    </row>
    <row r="25" spans="4:32" ht="16.5" customHeight="1" x14ac:dyDescent="0.25">
      <c r="D25" s="2" t="s">
        <v>356</v>
      </c>
      <c r="E25" s="2" t="s">
        <v>341</v>
      </c>
      <c r="P25" t="s">
        <v>800</v>
      </c>
      <c r="Q25" t="s">
        <v>799</v>
      </c>
      <c r="R25" t="s">
        <v>771</v>
      </c>
      <c r="AA25" s="2" t="s">
        <v>675</v>
      </c>
      <c r="AB25" s="2" t="s">
        <v>582</v>
      </c>
      <c r="AC25" s="2" t="s">
        <v>676</v>
      </c>
      <c r="AD25" s="2" t="s">
        <v>624</v>
      </c>
      <c r="AE25" s="2" t="s">
        <v>605</v>
      </c>
      <c r="AF25" s="2" t="s">
        <v>641</v>
      </c>
    </row>
    <row r="26" spans="4:32" ht="16.5" customHeight="1" x14ac:dyDescent="0.25">
      <c r="D26" s="2" t="s">
        <v>365</v>
      </c>
      <c r="E26" s="2" t="s">
        <v>365</v>
      </c>
      <c r="P26" t="s">
        <v>801</v>
      </c>
      <c r="Q26" t="s">
        <v>799</v>
      </c>
      <c r="R26" t="s">
        <v>771</v>
      </c>
      <c r="AA26" s="2" t="s">
        <v>677</v>
      </c>
      <c r="AB26" s="2" t="s">
        <v>582</v>
      </c>
      <c r="AC26" s="2" t="s">
        <v>678</v>
      </c>
      <c r="AD26" s="2" t="s">
        <v>624</v>
      </c>
      <c r="AE26" s="2" t="s">
        <v>605</v>
      </c>
      <c r="AF26" s="2" t="s">
        <v>641</v>
      </c>
    </row>
    <row r="27" spans="4:32" ht="16.5" customHeight="1" x14ac:dyDescent="0.25">
      <c r="D27" s="2" t="s">
        <v>523</v>
      </c>
      <c r="E27" s="2" t="s">
        <v>518</v>
      </c>
      <c r="P27" t="s">
        <v>802</v>
      </c>
      <c r="Q27" t="s">
        <v>799</v>
      </c>
      <c r="R27" t="s">
        <v>771</v>
      </c>
      <c r="AA27" s="2" t="s">
        <v>679</v>
      </c>
      <c r="AB27" s="2" t="s">
        <v>582</v>
      </c>
      <c r="AC27" s="2" t="s">
        <v>680</v>
      </c>
      <c r="AD27" s="2" t="s">
        <v>681</v>
      </c>
      <c r="AE27" s="2" t="s">
        <v>682</v>
      </c>
      <c r="AF27" s="2" t="s">
        <v>683</v>
      </c>
    </row>
    <row r="28" spans="4:32" ht="16.5" customHeight="1" x14ac:dyDescent="0.25">
      <c r="D28" s="2" t="s">
        <v>552</v>
      </c>
      <c r="E28" s="2" t="s">
        <v>547</v>
      </c>
      <c r="P28" t="s">
        <v>803</v>
      </c>
      <c r="Q28" t="s">
        <v>799</v>
      </c>
      <c r="R28" t="s">
        <v>771</v>
      </c>
      <c r="AA28" s="2" t="s">
        <v>684</v>
      </c>
      <c r="AB28" s="2" t="s">
        <v>582</v>
      </c>
      <c r="AC28" s="2" t="s">
        <v>685</v>
      </c>
      <c r="AD28" s="2" t="s">
        <v>662</v>
      </c>
      <c r="AE28" s="2" t="s">
        <v>682</v>
      </c>
      <c r="AF28" s="2" t="s">
        <v>606</v>
      </c>
    </row>
    <row r="29" spans="4:32" ht="16.5" customHeight="1" x14ac:dyDescent="0.25">
      <c r="D29" s="2" t="s">
        <v>456</v>
      </c>
      <c r="E29" s="2" t="s">
        <v>454</v>
      </c>
      <c r="P29" t="s">
        <v>804</v>
      </c>
      <c r="Q29" t="s">
        <v>799</v>
      </c>
      <c r="R29" t="s">
        <v>771</v>
      </c>
      <c r="AA29" s="2" t="s">
        <v>686</v>
      </c>
      <c r="AB29" s="2" t="s">
        <v>583</v>
      </c>
      <c r="AC29" s="2" t="s">
        <v>687</v>
      </c>
      <c r="AD29" s="2" t="s">
        <v>688</v>
      </c>
      <c r="AE29" s="2" t="s">
        <v>605</v>
      </c>
      <c r="AF29" s="2" t="s">
        <v>606</v>
      </c>
    </row>
    <row r="30" spans="4:32" ht="16.5" customHeight="1" x14ac:dyDescent="0.25">
      <c r="D30" s="2" t="s">
        <v>534</v>
      </c>
      <c r="E30" s="2" t="s">
        <v>494</v>
      </c>
      <c r="P30" t="s">
        <v>807</v>
      </c>
      <c r="Q30" t="s">
        <v>806</v>
      </c>
      <c r="R30" t="s">
        <v>805</v>
      </c>
      <c r="AA30" s="2" t="s">
        <v>689</v>
      </c>
      <c r="AB30" s="2" t="s">
        <v>583</v>
      </c>
      <c r="AC30" s="2" t="s">
        <v>690</v>
      </c>
      <c r="AD30" s="2" t="s">
        <v>691</v>
      </c>
      <c r="AE30" s="2" t="s">
        <v>605</v>
      </c>
      <c r="AF30" s="2" t="s">
        <v>606</v>
      </c>
    </row>
    <row r="31" spans="4:32" ht="16.5" customHeight="1" x14ac:dyDescent="0.25">
      <c r="D31" s="2" t="s">
        <v>457</v>
      </c>
      <c r="E31" s="2" t="s">
        <v>454</v>
      </c>
      <c r="P31" t="s">
        <v>808</v>
      </c>
      <c r="Q31" t="s">
        <v>806</v>
      </c>
      <c r="R31" t="s">
        <v>805</v>
      </c>
      <c r="AA31" s="2" t="s">
        <v>692</v>
      </c>
      <c r="AB31" s="2" t="s">
        <v>583</v>
      </c>
      <c r="AC31" s="2" t="s">
        <v>693</v>
      </c>
      <c r="AD31" s="2" t="s">
        <v>694</v>
      </c>
      <c r="AE31" s="2" t="s">
        <v>605</v>
      </c>
      <c r="AF31" s="2" t="s">
        <v>606</v>
      </c>
    </row>
    <row r="32" spans="4:32" ht="16.5" customHeight="1" x14ac:dyDescent="0.25">
      <c r="D32" s="2" t="s">
        <v>571</v>
      </c>
      <c r="E32" s="2" t="s">
        <v>564</v>
      </c>
      <c r="P32" t="s">
        <v>809</v>
      </c>
      <c r="Q32" t="s">
        <v>806</v>
      </c>
      <c r="R32" t="s">
        <v>805</v>
      </c>
      <c r="AA32" s="2" t="s">
        <v>695</v>
      </c>
      <c r="AB32" s="2" t="s">
        <v>583</v>
      </c>
      <c r="AC32" s="2" t="s">
        <v>696</v>
      </c>
      <c r="AD32" s="2" t="s">
        <v>694</v>
      </c>
      <c r="AE32" s="2" t="s">
        <v>605</v>
      </c>
      <c r="AF32" s="2" t="s">
        <v>606</v>
      </c>
    </row>
    <row r="33" spans="4:32" ht="16.5" customHeight="1" x14ac:dyDescent="0.25">
      <c r="D33" s="2" t="s">
        <v>557</v>
      </c>
      <c r="E33" s="2" t="s">
        <v>554</v>
      </c>
      <c r="P33" t="s">
        <v>811</v>
      </c>
      <c r="Q33" t="s">
        <v>810</v>
      </c>
      <c r="R33" t="s">
        <v>805</v>
      </c>
      <c r="AA33" s="2" t="s">
        <v>697</v>
      </c>
      <c r="AB33" s="2" t="s">
        <v>583</v>
      </c>
      <c r="AC33" s="2" t="s">
        <v>698</v>
      </c>
      <c r="AD33" s="2" t="s">
        <v>699</v>
      </c>
      <c r="AE33" s="2" t="s">
        <v>605</v>
      </c>
      <c r="AF33" s="2" t="s">
        <v>606</v>
      </c>
    </row>
    <row r="34" spans="4:32" ht="16.5" customHeight="1" x14ac:dyDescent="0.25">
      <c r="D34" s="2" t="s">
        <v>458</v>
      </c>
      <c r="E34" s="2" t="s">
        <v>454</v>
      </c>
      <c r="P34" t="s">
        <v>812</v>
      </c>
      <c r="Q34" t="s">
        <v>810</v>
      </c>
      <c r="R34" t="s">
        <v>805</v>
      </c>
      <c r="AA34" s="2" t="s">
        <v>700</v>
      </c>
      <c r="AB34" s="2" t="s">
        <v>583</v>
      </c>
      <c r="AC34" s="2" t="s">
        <v>701</v>
      </c>
      <c r="AD34" s="2" t="s">
        <v>702</v>
      </c>
      <c r="AE34" s="2" t="s">
        <v>605</v>
      </c>
      <c r="AF34" s="2" t="s">
        <v>606</v>
      </c>
    </row>
    <row r="35" spans="4:32" ht="16.5" customHeight="1" x14ac:dyDescent="0.25">
      <c r="D35" s="2" t="s">
        <v>382</v>
      </c>
      <c r="E35" s="2" t="s">
        <v>378</v>
      </c>
      <c r="P35" t="s">
        <v>813</v>
      </c>
      <c r="Q35" t="s">
        <v>810</v>
      </c>
      <c r="R35" t="s">
        <v>805</v>
      </c>
      <c r="AA35" s="2" t="s">
        <v>703</v>
      </c>
      <c r="AB35" s="2" t="s">
        <v>583</v>
      </c>
      <c r="AC35" s="2" t="s">
        <v>704</v>
      </c>
      <c r="AD35" s="2" t="s">
        <v>702</v>
      </c>
      <c r="AE35" s="2" t="s">
        <v>605</v>
      </c>
      <c r="AF35" s="2" t="s">
        <v>606</v>
      </c>
    </row>
    <row r="36" spans="4:32" ht="16.5" customHeight="1" x14ac:dyDescent="0.25">
      <c r="D36" s="2" t="s">
        <v>402</v>
      </c>
      <c r="E36" s="2" t="s">
        <v>397</v>
      </c>
      <c r="P36" t="s">
        <v>816</v>
      </c>
      <c r="Q36" t="s">
        <v>815</v>
      </c>
      <c r="R36" t="s">
        <v>814</v>
      </c>
      <c r="AA36" s="2" t="s">
        <v>705</v>
      </c>
      <c r="AB36" s="2" t="s">
        <v>583</v>
      </c>
      <c r="AC36" s="2" t="s">
        <v>706</v>
      </c>
      <c r="AD36" s="2" t="s">
        <v>707</v>
      </c>
      <c r="AE36" s="2" t="s">
        <v>605</v>
      </c>
      <c r="AF36" s="2" t="s">
        <v>606</v>
      </c>
    </row>
    <row r="37" spans="4:32" ht="16.5" customHeight="1" x14ac:dyDescent="0.25">
      <c r="D37" s="2" t="s">
        <v>359</v>
      </c>
      <c r="E37" s="2" t="s">
        <v>357</v>
      </c>
      <c r="P37" t="s">
        <v>818</v>
      </c>
      <c r="Q37" t="s">
        <v>817</v>
      </c>
      <c r="R37" t="s">
        <v>814</v>
      </c>
      <c r="AA37" s="2" t="s">
        <v>708</v>
      </c>
      <c r="AB37" s="2" t="s">
        <v>583</v>
      </c>
      <c r="AC37" s="2" t="s">
        <v>709</v>
      </c>
      <c r="AD37" s="2" t="s">
        <v>710</v>
      </c>
      <c r="AE37" s="2" t="s">
        <v>605</v>
      </c>
      <c r="AF37" s="2" t="s">
        <v>606</v>
      </c>
    </row>
    <row r="38" spans="4:32" ht="16.5" customHeight="1" x14ac:dyDescent="0.25">
      <c r="D38" s="2" t="s">
        <v>360</v>
      </c>
      <c r="E38" s="2" t="s">
        <v>357</v>
      </c>
      <c r="P38" t="s">
        <v>819</v>
      </c>
      <c r="Q38" t="s">
        <v>817</v>
      </c>
      <c r="R38" t="s">
        <v>814</v>
      </c>
      <c r="AA38" s="2" t="s">
        <v>711</v>
      </c>
      <c r="AB38" s="2" t="s">
        <v>583</v>
      </c>
      <c r="AC38" s="2" t="s">
        <v>712</v>
      </c>
      <c r="AD38" s="2" t="s">
        <v>710</v>
      </c>
      <c r="AE38" s="2" t="s">
        <v>605</v>
      </c>
      <c r="AF38" s="2" t="s">
        <v>606</v>
      </c>
    </row>
    <row r="39" spans="4:32" ht="16.5" customHeight="1" x14ac:dyDescent="0.25">
      <c r="D39" s="2" t="s">
        <v>566</v>
      </c>
      <c r="E39" s="2" t="s">
        <v>564</v>
      </c>
      <c r="P39" t="s">
        <v>820</v>
      </c>
      <c r="Q39" t="s">
        <v>817</v>
      </c>
      <c r="R39" t="s">
        <v>814</v>
      </c>
      <c r="AA39" s="2" t="s">
        <v>713</v>
      </c>
      <c r="AB39" s="2" t="s">
        <v>584</v>
      </c>
      <c r="AC39" s="2" t="s">
        <v>714</v>
      </c>
      <c r="AD39" s="2" t="s">
        <v>715</v>
      </c>
      <c r="AE39" s="2" t="s">
        <v>605</v>
      </c>
      <c r="AF39" s="2" t="s">
        <v>606</v>
      </c>
    </row>
    <row r="40" spans="4:32" ht="16.5" customHeight="1" x14ac:dyDescent="0.25">
      <c r="D40" s="2" t="s">
        <v>486</v>
      </c>
      <c r="E40" s="2" t="s">
        <v>484</v>
      </c>
      <c r="P40" t="s">
        <v>821</v>
      </c>
      <c r="Q40" t="s">
        <v>817</v>
      </c>
      <c r="R40" t="s">
        <v>814</v>
      </c>
      <c r="AA40" s="2" t="s">
        <v>716</v>
      </c>
      <c r="AB40" s="2" t="s">
        <v>584</v>
      </c>
      <c r="AC40" s="2" t="s">
        <v>717</v>
      </c>
      <c r="AD40" s="2" t="s">
        <v>715</v>
      </c>
      <c r="AE40" s="2" t="s">
        <v>605</v>
      </c>
      <c r="AF40" s="2" t="s">
        <v>606</v>
      </c>
    </row>
    <row r="41" spans="4:32" ht="16.5" customHeight="1" x14ac:dyDescent="0.25">
      <c r="D41" s="2" t="s">
        <v>351</v>
      </c>
      <c r="E41" s="2" t="s">
        <v>341</v>
      </c>
      <c r="P41" t="s">
        <v>823</v>
      </c>
      <c r="Q41" t="s">
        <v>822</v>
      </c>
      <c r="R41" t="s">
        <v>814</v>
      </c>
      <c r="AA41" s="2" t="s">
        <v>718</v>
      </c>
      <c r="AB41" s="2" t="s">
        <v>584</v>
      </c>
      <c r="AC41" s="2" t="s">
        <v>719</v>
      </c>
      <c r="AD41" s="2" t="s">
        <v>715</v>
      </c>
      <c r="AE41" s="2" t="s">
        <v>605</v>
      </c>
      <c r="AF41" s="2" t="s">
        <v>606</v>
      </c>
    </row>
    <row r="42" spans="4:32" ht="16.5" customHeight="1" x14ac:dyDescent="0.25">
      <c r="D42" s="2" t="s">
        <v>383</v>
      </c>
      <c r="E42" s="2" t="s">
        <v>378</v>
      </c>
      <c r="P42" t="s">
        <v>826</v>
      </c>
      <c r="Q42" t="s">
        <v>825</v>
      </c>
      <c r="R42" t="s">
        <v>824</v>
      </c>
      <c r="AA42" s="2" t="s">
        <v>720</v>
      </c>
      <c r="AB42" s="2" t="s">
        <v>584</v>
      </c>
      <c r="AC42" s="2" t="s">
        <v>721</v>
      </c>
      <c r="AD42" s="2" t="s">
        <v>722</v>
      </c>
      <c r="AE42" s="2" t="s">
        <v>605</v>
      </c>
      <c r="AF42" s="2" t="s">
        <v>606</v>
      </c>
    </row>
    <row r="43" spans="4:32" ht="16.5" customHeight="1" x14ac:dyDescent="0.25">
      <c r="D43" s="2" t="s">
        <v>427</v>
      </c>
      <c r="E43" s="2" t="s">
        <v>423</v>
      </c>
      <c r="P43" t="s">
        <v>827</v>
      </c>
      <c r="Q43" t="s">
        <v>825</v>
      </c>
      <c r="R43" t="s">
        <v>824</v>
      </c>
      <c r="AA43" s="2" t="s">
        <v>723</v>
      </c>
      <c r="AB43" s="2" t="s">
        <v>584</v>
      </c>
      <c r="AC43" s="2" t="s">
        <v>724</v>
      </c>
      <c r="AD43" s="2" t="s">
        <v>725</v>
      </c>
      <c r="AE43" s="2" t="s">
        <v>605</v>
      </c>
      <c r="AF43" s="2" t="s">
        <v>606</v>
      </c>
    </row>
    <row r="44" spans="4:32" ht="16.5" customHeight="1" x14ac:dyDescent="0.25">
      <c r="D44" s="2" t="s">
        <v>381</v>
      </c>
      <c r="E44" s="2" t="s">
        <v>378</v>
      </c>
      <c r="P44" t="s">
        <v>828</v>
      </c>
      <c r="Q44" t="s">
        <v>825</v>
      </c>
      <c r="R44" t="s">
        <v>824</v>
      </c>
      <c r="AA44" s="2" t="s">
        <v>726</v>
      </c>
      <c r="AB44" s="2" t="s">
        <v>584</v>
      </c>
      <c r="AC44" s="2" t="s">
        <v>727</v>
      </c>
      <c r="AD44" s="2" t="s">
        <v>728</v>
      </c>
      <c r="AE44" s="2" t="s">
        <v>605</v>
      </c>
      <c r="AF44" s="2" t="s">
        <v>655</v>
      </c>
    </row>
    <row r="45" spans="4:32" ht="16.5" customHeight="1" x14ac:dyDescent="0.25">
      <c r="D45" s="2" t="s">
        <v>450</v>
      </c>
      <c r="E45" s="2" t="s">
        <v>447</v>
      </c>
      <c r="P45" t="s">
        <v>830</v>
      </c>
      <c r="Q45" t="s">
        <v>829</v>
      </c>
      <c r="R45" t="s">
        <v>824</v>
      </c>
      <c r="AA45" s="2" t="s">
        <v>729</v>
      </c>
      <c r="AB45" s="2" t="s">
        <v>585</v>
      </c>
      <c r="AC45" s="2" t="s">
        <v>730</v>
      </c>
      <c r="AD45" s="2" t="s">
        <v>731</v>
      </c>
      <c r="AE45" s="2" t="s">
        <v>605</v>
      </c>
      <c r="AF45" s="2" t="s">
        <v>606</v>
      </c>
    </row>
    <row r="46" spans="4:32" ht="16.5" customHeight="1" x14ac:dyDescent="0.25">
      <c r="D46" s="2" t="s">
        <v>342</v>
      </c>
      <c r="E46" s="2" t="s">
        <v>341</v>
      </c>
      <c r="P46" t="s">
        <v>831</v>
      </c>
      <c r="Q46" t="s">
        <v>829</v>
      </c>
      <c r="R46" t="s">
        <v>824</v>
      </c>
      <c r="AA46" s="2" t="s">
        <v>732</v>
      </c>
      <c r="AB46" s="2" t="s">
        <v>585</v>
      </c>
      <c r="AC46" s="2" t="s">
        <v>733</v>
      </c>
      <c r="AD46" s="2" t="s">
        <v>734</v>
      </c>
      <c r="AE46" s="2" t="s">
        <v>605</v>
      </c>
      <c r="AF46" s="2" t="s">
        <v>655</v>
      </c>
    </row>
    <row r="47" spans="4:32" ht="16.5" customHeight="1" x14ac:dyDescent="0.25">
      <c r="D47" s="2" t="s">
        <v>388</v>
      </c>
      <c r="E47" s="2" t="s">
        <v>378</v>
      </c>
      <c r="P47" t="s">
        <v>832</v>
      </c>
      <c r="Q47" t="s">
        <v>829</v>
      </c>
      <c r="R47" t="s">
        <v>824</v>
      </c>
      <c r="AA47" s="2" t="s">
        <v>735</v>
      </c>
      <c r="AB47" s="2" t="s">
        <v>585</v>
      </c>
      <c r="AC47" s="2" t="s">
        <v>736</v>
      </c>
      <c r="AD47" s="2" t="s">
        <v>737</v>
      </c>
      <c r="AE47" s="2" t="s">
        <v>605</v>
      </c>
      <c r="AF47" s="2" t="s">
        <v>606</v>
      </c>
    </row>
    <row r="48" spans="4:32" ht="16.5" customHeight="1" x14ac:dyDescent="0.25">
      <c r="D48" s="2" t="s">
        <v>553</v>
      </c>
      <c r="E48" s="2" t="s">
        <v>547</v>
      </c>
      <c r="AA48" s="2" t="s">
        <v>738</v>
      </c>
      <c r="AB48" s="2" t="s">
        <v>585</v>
      </c>
      <c r="AC48" s="2" t="s">
        <v>739</v>
      </c>
      <c r="AD48" s="2" t="s">
        <v>740</v>
      </c>
      <c r="AE48" s="2" t="s">
        <v>605</v>
      </c>
      <c r="AF48" s="2" t="s">
        <v>606</v>
      </c>
    </row>
    <row r="49" spans="4:32" ht="16.5" customHeight="1" x14ac:dyDescent="0.25">
      <c r="D49" s="2" t="s">
        <v>428</v>
      </c>
      <c r="E49" s="2" t="s">
        <v>423</v>
      </c>
      <c r="AA49" s="2" t="s">
        <v>741</v>
      </c>
      <c r="AB49" s="2" t="s">
        <v>585</v>
      </c>
      <c r="AC49" s="2" t="s">
        <v>742</v>
      </c>
      <c r="AD49" s="2" t="s">
        <v>743</v>
      </c>
      <c r="AE49" s="2" t="s">
        <v>605</v>
      </c>
      <c r="AF49" s="2" t="s">
        <v>651</v>
      </c>
    </row>
    <row r="50" spans="4:32" ht="16.5" customHeight="1" x14ac:dyDescent="0.25">
      <c r="D50" s="2" t="s">
        <v>370</v>
      </c>
      <c r="E50" s="2" t="s">
        <v>365</v>
      </c>
      <c r="AA50" s="2" t="s">
        <v>744</v>
      </c>
      <c r="AB50" s="2" t="s">
        <v>586</v>
      </c>
      <c r="AC50" s="2" t="s">
        <v>745</v>
      </c>
      <c r="AD50" s="2" t="s">
        <v>746</v>
      </c>
      <c r="AE50" s="2" t="s">
        <v>605</v>
      </c>
      <c r="AF50" s="2" t="s">
        <v>606</v>
      </c>
    </row>
    <row r="51" spans="4:32" ht="16.5" customHeight="1" x14ac:dyDescent="0.25">
      <c r="D51" s="2" t="s">
        <v>429</v>
      </c>
      <c r="E51" s="2" t="s">
        <v>423</v>
      </c>
      <c r="AA51" s="2" t="s">
        <v>747</v>
      </c>
      <c r="AB51" s="2" t="s">
        <v>586</v>
      </c>
      <c r="AC51" s="2" t="s">
        <v>748</v>
      </c>
      <c r="AD51" s="2" t="s">
        <v>749</v>
      </c>
      <c r="AE51" s="2" t="s">
        <v>605</v>
      </c>
      <c r="AF51" s="2" t="s">
        <v>750</v>
      </c>
    </row>
    <row r="52" spans="4:32" ht="16.5" customHeight="1" x14ac:dyDescent="0.25">
      <c r="D52" s="2" t="s">
        <v>361</v>
      </c>
      <c r="E52" s="2" t="s">
        <v>357</v>
      </c>
      <c r="AA52" s="2" t="s">
        <v>751</v>
      </c>
      <c r="AB52" s="2" t="s">
        <v>587</v>
      </c>
      <c r="AC52" s="2" t="s">
        <v>752</v>
      </c>
      <c r="AD52" s="2" t="s">
        <v>753</v>
      </c>
      <c r="AE52" s="2" t="s">
        <v>605</v>
      </c>
      <c r="AF52" s="2" t="s">
        <v>606</v>
      </c>
    </row>
    <row r="53" spans="4:32" ht="16.5" customHeight="1" x14ac:dyDescent="0.25">
      <c r="D53" s="2" t="s">
        <v>487</v>
      </c>
      <c r="E53" s="2" t="s">
        <v>484</v>
      </c>
      <c r="AA53" s="2" t="s">
        <v>754</v>
      </c>
      <c r="AB53" s="2" t="s">
        <v>587</v>
      </c>
      <c r="AC53" s="2" t="s">
        <v>755</v>
      </c>
      <c r="AD53" s="2" t="s">
        <v>756</v>
      </c>
      <c r="AE53" s="2" t="s">
        <v>682</v>
      </c>
      <c r="AF53" s="2" t="s">
        <v>757</v>
      </c>
    </row>
    <row r="54" spans="4:32" ht="16.5" customHeight="1" x14ac:dyDescent="0.25">
      <c r="D54" s="2" t="s">
        <v>521</v>
      </c>
      <c r="E54" s="2" t="s">
        <v>518</v>
      </c>
      <c r="AA54" s="2" t="s">
        <v>758</v>
      </c>
      <c r="AB54" s="2" t="s">
        <v>587</v>
      </c>
      <c r="AC54" s="2" t="s">
        <v>759</v>
      </c>
      <c r="AD54" s="2" t="s">
        <v>760</v>
      </c>
      <c r="AE54" s="2" t="s">
        <v>761</v>
      </c>
      <c r="AF54" s="2" t="s">
        <v>762</v>
      </c>
    </row>
    <row r="55" spans="4:32" ht="16.5" customHeight="1" x14ac:dyDescent="0.25">
      <c r="D55" s="2" t="s">
        <v>430</v>
      </c>
      <c r="E55" s="2" t="s">
        <v>423</v>
      </c>
      <c r="AA55" s="2" t="s">
        <v>763</v>
      </c>
      <c r="AB55" s="2" t="s">
        <v>587</v>
      </c>
      <c r="AC55" s="2" t="s">
        <v>764</v>
      </c>
      <c r="AD55" s="2" t="s">
        <v>765</v>
      </c>
      <c r="AE55" s="2" t="s">
        <v>682</v>
      </c>
      <c r="AF55" s="2" t="s">
        <v>766</v>
      </c>
    </row>
    <row r="56" spans="4:32" ht="16.5" customHeight="1" x14ac:dyDescent="0.25">
      <c r="D56" s="2" t="s">
        <v>403</v>
      </c>
      <c r="E56" s="2" t="s">
        <v>397</v>
      </c>
      <c r="AA56" s="2" t="s">
        <v>767</v>
      </c>
      <c r="AB56" s="2" t="s">
        <v>586</v>
      </c>
      <c r="AC56" s="2" t="s">
        <v>768</v>
      </c>
      <c r="AD56" s="2" t="s">
        <v>769</v>
      </c>
      <c r="AE56" s="2" t="s">
        <v>605</v>
      </c>
      <c r="AF56" s="2" t="s">
        <v>655</v>
      </c>
    </row>
    <row r="57" spans="4:32" x14ac:dyDescent="0.25">
      <c r="D57" s="2" t="s">
        <v>352</v>
      </c>
      <c r="E57" s="2" t="s">
        <v>341</v>
      </c>
    </row>
    <row r="58" spans="4:32" ht="30" x14ac:dyDescent="0.25">
      <c r="D58" s="2" t="s">
        <v>570</v>
      </c>
      <c r="E58" s="2" t="s">
        <v>564</v>
      </c>
    </row>
    <row r="59" spans="4:32" x14ac:dyDescent="0.25">
      <c r="D59" s="2" t="s">
        <v>369</v>
      </c>
      <c r="E59" s="2" t="s">
        <v>365</v>
      </c>
    </row>
    <row r="60" spans="4:32" x14ac:dyDescent="0.25">
      <c r="D60" s="2" t="s">
        <v>431</v>
      </c>
      <c r="E60" s="2" t="s">
        <v>423</v>
      </c>
    </row>
    <row r="61" spans="4:32" x14ac:dyDescent="0.25">
      <c r="D61" s="2" t="s">
        <v>413</v>
      </c>
      <c r="E61" s="2" t="s">
        <v>412</v>
      </c>
    </row>
    <row r="62" spans="4:32" x14ac:dyDescent="0.25">
      <c r="D62" s="2" t="s">
        <v>412</v>
      </c>
      <c r="E62" s="2" t="s">
        <v>412</v>
      </c>
    </row>
    <row r="63" spans="4:32" x14ac:dyDescent="0.25">
      <c r="D63" s="2" t="s">
        <v>374</v>
      </c>
      <c r="E63" s="2" t="s">
        <v>372</v>
      </c>
    </row>
    <row r="64" spans="4:32" x14ac:dyDescent="0.25">
      <c r="D64" s="2" t="s">
        <v>459</v>
      </c>
      <c r="E64" s="2" t="s">
        <v>454</v>
      </c>
    </row>
    <row r="65" spans="4:5" ht="30" x14ac:dyDescent="0.25">
      <c r="D65" s="2" t="s">
        <v>488</v>
      </c>
      <c r="E65" s="2" t="s">
        <v>484</v>
      </c>
    </row>
    <row r="66" spans="4:5" ht="30" x14ac:dyDescent="0.25">
      <c r="D66" s="2" t="s">
        <v>525</v>
      </c>
      <c r="E66" s="2" t="s">
        <v>524</v>
      </c>
    </row>
    <row r="67" spans="4:5" x14ac:dyDescent="0.25">
      <c r="D67" s="2" t="s">
        <v>343</v>
      </c>
      <c r="E67" s="2" t="s">
        <v>341</v>
      </c>
    </row>
    <row r="68" spans="4:5" ht="30" x14ac:dyDescent="0.25">
      <c r="D68" s="2" t="s">
        <v>549</v>
      </c>
      <c r="E68" s="2" t="s">
        <v>547</v>
      </c>
    </row>
    <row r="69" spans="4:5" x14ac:dyDescent="0.25">
      <c r="D69" s="2" t="s">
        <v>460</v>
      </c>
      <c r="E69" s="2" t="s">
        <v>454</v>
      </c>
    </row>
    <row r="70" spans="4:5" x14ac:dyDescent="0.25">
      <c r="D70" s="2" t="s">
        <v>355</v>
      </c>
      <c r="E70" s="2" t="s">
        <v>341</v>
      </c>
    </row>
    <row r="71" spans="4:5" x14ac:dyDescent="0.25">
      <c r="D71" s="2" t="s">
        <v>344</v>
      </c>
      <c r="E71" s="2" t="s">
        <v>341</v>
      </c>
    </row>
    <row r="72" spans="4:5" ht="30" x14ac:dyDescent="0.25">
      <c r="D72" s="2" t="s">
        <v>507</v>
      </c>
      <c r="E72" s="2" t="s">
        <v>505</v>
      </c>
    </row>
    <row r="73" spans="4:5" x14ac:dyDescent="0.25">
      <c r="D73" s="2" t="s">
        <v>384</v>
      </c>
      <c r="E73" s="2" t="s">
        <v>378</v>
      </c>
    </row>
    <row r="74" spans="4:5" x14ac:dyDescent="0.25">
      <c r="D74" s="2" t="s">
        <v>385</v>
      </c>
      <c r="E74" s="2" t="s">
        <v>378</v>
      </c>
    </row>
    <row r="75" spans="4:5" x14ac:dyDescent="0.25">
      <c r="D75" s="2" t="s">
        <v>358</v>
      </c>
      <c r="E75" s="2" t="s">
        <v>357</v>
      </c>
    </row>
    <row r="76" spans="4:5" x14ac:dyDescent="0.25">
      <c r="D76" s="2" t="s">
        <v>424</v>
      </c>
      <c r="E76" s="2" t="s">
        <v>423</v>
      </c>
    </row>
    <row r="77" spans="4:5" ht="30" x14ac:dyDescent="0.25">
      <c r="D77" s="2" t="s">
        <v>512</v>
      </c>
      <c r="E77" s="2" t="s">
        <v>505</v>
      </c>
    </row>
    <row r="78" spans="4:5" x14ac:dyDescent="0.25">
      <c r="D78" s="2" t="s">
        <v>404</v>
      </c>
      <c r="E78" s="2" t="s">
        <v>397</v>
      </c>
    </row>
    <row r="79" spans="4:5" x14ac:dyDescent="0.25">
      <c r="D79" s="2" t="s">
        <v>448</v>
      </c>
      <c r="E79" s="2" t="s">
        <v>447</v>
      </c>
    </row>
    <row r="80" spans="4:5" x14ac:dyDescent="0.25">
      <c r="D80" s="2" t="s">
        <v>421</v>
      </c>
      <c r="E80" s="2" t="s">
        <v>419</v>
      </c>
    </row>
    <row r="81" spans="4:5" ht="30" x14ac:dyDescent="0.25">
      <c r="D81" s="2" t="s">
        <v>446</v>
      </c>
      <c r="E81" s="2" t="s">
        <v>423</v>
      </c>
    </row>
    <row r="82" spans="4:5" x14ac:dyDescent="0.25">
      <c r="D82" s="2" t="s">
        <v>502</v>
      </c>
      <c r="E82" s="2" t="s">
        <v>484</v>
      </c>
    </row>
    <row r="83" spans="4:5" x14ac:dyDescent="0.25">
      <c r="D83" s="2" t="s">
        <v>503</v>
      </c>
      <c r="E83" s="2" t="s">
        <v>484</v>
      </c>
    </row>
    <row r="84" spans="4:5" x14ac:dyDescent="0.25">
      <c r="D84" s="2" t="s">
        <v>489</v>
      </c>
      <c r="E84" s="2" t="s">
        <v>484</v>
      </c>
    </row>
    <row r="85" spans="4:5" x14ac:dyDescent="0.25">
      <c r="D85" s="2" t="s">
        <v>490</v>
      </c>
      <c r="E85" s="2" t="s">
        <v>484</v>
      </c>
    </row>
    <row r="86" spans="4:5" ht="30" x14ac:dyDescent="0.25">
      <c r="D86" s="2" t="s">
        <v>546</v>
      </c>
      <c r="E86" s="2" t="s">
        <v>544</v>
      </c>
    </row>
    <row r="87" spans="4:5" ht="30" x14ac:dyDescent="0.25">
      <c r="D87" s="2" t="s">
        <v>527</v>
      </c>
      <c r="E87" s="2" t="s">
        <v>524</v>
      </c>
    </row>
    <row r="88" spans="4:5" x14ac:dyDescent="0.25">
      <c r="D88" s="2" t="s">
        <v>542</v>
      </c>
      <c r="E88" s="2" t="s">
        <v>541</v>
      </c>
    </row>
    <row r="89" spans="4:5" x14ac:dyDescent="0.25">
      <c r="D89" s="2" t="s">
        <v>391</v>
      </c>
      <c r="E89" s="2" t="s">
        <v>389</v>
      </c>
    </row>
    <row r="90" spans="4:5" x14ac:dyDescent="0.25">
      <c r="D90" s="2" t="s">
        <v>368</v>
      </c>
      <c r="E90" s="2" t="s">
        <v>365</v>
      </c>
    </row>
    <row r="91" spans="4:5" x14ac:dyDescent="0.25">
      <c r="D91" s="2" t="s">
        <v>548</v>
      </c>
      <c r="E91" s="2" t="s">
        <v>547</v>
      </c>
    </row>
    <row r="92" spans="4:5" x14ac:dyDescent="0.25">
      <c r="D92" s="2" t="s">
        <v>411</v>
      </c>
      <c r="E92" s="2" t="s">
        <v>397</v>
      </c>
    </row>
    <row r="93" spans="4:5" x14ac:dyDescent="0.25">
      <c r="D93" s="2" t="s">
        <v>364</v>
      </c>
      <c r="E93" s="2" t="s">
        <v>357</v>
      </c>
    </row>
    <row r="94" spans="4:5" x14ac:dyDescent="0.25">
      <c r="D94" s="2" t="s">
        <v>390</v>
      </c>
      <c r="E94" s="2" t="s">
        <v>389</v>
      </c>
    </row>
    <row r="95" spans="4:5" ht="30" x14ac:dyDescent="0.25">
      <c r="D95" s="2" t="s">
        <v>508</v>
      </c>
      <c r="E95" s="2" t="s">
        <v>505</v>
      </c>
    </row>
    <row r="96" spans="4:5" ht="30" x14ac:dyDescent="0.25">
      <c r="D96" s="2" t="s">
        <v>515</v>
      </c>
      <c r="E96" s="2" t="s">
        <v>505</v>
      </c>
    </row>
    <row r="97" spans="4:5" x14ac:dyDescent="0.25">
      <c r="D97" s="2" t="s">
        <v>454</v>
      </c>
      <c r="E97" s="2" t="s">
        <v>454</v>
      </c>
    </row>
    <row r="98" spans="4:5" ht="30" x14ac:dyDescent="0.25">
      <c r="D98" s="2" t="s">
        <v>444</v>
      </c>
      <c r="E98" s="2" t="s">
        <v>423</v>
      </c>
    </row>
    <row r="99" spans="4:5" x14ac:dyDescent="0.25">
      <c r="D99" s="2" t="s">
        <v>528</v>
      </c>
      <c r="E99" s="2" t="s">
        <v>524</v>
      </c>
    </row>
    <row r="100" spans="4:5" x14ac:dyDescent="0.25">
      <c r="D100" s="2" t="s">
        <v>461</v>
      </c>
      <c r="E100" s="2" t="s">
        <v>454</v>
      </c>
    </row>
    <row r="101" spans="4:5" x14ac:dyDescent="0.25">
      <c r="D101" s="2" t="s">
        <v>398</v>
      </c>
      <c r="E101" s="2" t="s">
        <v>397</v>
      </c>
    </row>
    <row r="102" spans="4:5" x14ac:dyDescent="0.25">
      <c r="D102" s="2" t="s">
        <v>491</v>
      </c>
      <c r="E102" s="2" t="s">
        <v>484</v>
      </c>
    </row>
    <row r="103" spans="4:5" x14ac:dyDescent="0.25">
      <c r="D103" s="2" t="s">
        <v>405</v>
      </c>
      <c r="E103" s="2" t="s">
        <v>397</v>
      </c>
    </row>
    <row r="104" spans="4:5" ht="30" x14ac:dyDescent="0.25">
      <c r="D104" s="2" t="s">
        <v>443</v>
      </c>
      <c r="E104" s="2" t="s">
        <v>423</v>
      </c>
    </row>
    <row r="105" spans="4:5" x14ac:dyDescent="0.25">
      <c r="D105" s="2" t="s">
        <v>535</v>
      </c>
      <c r="E105" s="2" t="s">
        <v>494</v>
      </c>
    </row>
    <row r="106" spans="4:5" x14ac:dyDescent="0.25">
      <c r="D106" s="2" t="s">
        <v>530</v>
      </c>
      <c r="E106" s="2" t="s">
        <v>529</v>
      </c>
    </row>
    <row r="107" spans="4:5" x14ac:dyDescent="0.25">
      <c r="D107" s="2" t="s">
        <v>432</v>
      </c>
      <c r="E107" s="2" t="s">
        <v>423</v>
      </c>
    </row>
    <row r="108" spans="4:5" x14ac:dyDescent="0.25">
      <c r="D108" s="2" t="s">
        <v>375</v>
      </c>
      <c r="E108" s="2" t="s">
        <v>372</v>
      </c>
    </row>
    <row r="109" spans="4:5" x14ac:dyDescent="0.25">
      <c r="D109" s="2" t="s">
        <v>482</v>
      </c>
      <c r="E109" s="2" t="s">
        <v>470</v>
      </c>
    </row>
    <row r="110" spans="4:5" x14ac:dyDescent="0.25">
      <c r="D110" s="2" t="s">
        <v>558</v>
      </c>
      <c r="E110" s="2" t="s">
        <v>554</v>
      </c>
    </row>
    <row r="111" spans="4:5" x14ac:dyDescent="0.25">
      <c r="D111" s="2" t="s">
        <v>473</v>
      </c>
      <c r="E111" s="2" t="s">
        <v>470</v>
      </c>
    </row>
    <row r="112" spans="4:5" x14ac:dyDescent="0.25">
      <c r="D112" s="2" t="s">
        <v>492</v>
      </c>
      <c r="E112" s="2" t="s">
        <v>484</v>
      </c>
    </row>
    <row r="113" spans="4:5" x14ac:dyDescent="0.25">
      <c r="D113" s="2" t="s">
        <v>376</v>
      </c>
      <c r="E113" s="2" t="s">
        <v>372</v>
      </c>
    </row>
    <row r="114" spans="4:5" ht="30" x14ac:dyDescent="0.25">
      <c r="D114" s="2" t="s">
        <v>506</v>
      </c>
      <c r="E114" s="2" t="s">
        <v>505</v>
      </c>
    </row>
    <row r="115" spans="4:5" x14ac:dyDescent="0.25">
      <c r="D115" s="2" t="s">
        <v>414</v>
      </c>
      <c r="E115" s="2" t="s">
        <v>412</v>
      </c>
    </row>
    <row r="116" spans="4:5" x14ac:dyDescent="0.25">
      <c r="D116" s="2" t="s">
        <v>345</v>
      </c>
      <c r="E116" s="2" t="s">
        <v>341</v>
      </c>
    </row>
    <row r="117" spans="4:5" ht="30" x14ac:dyDescent="0.25">
      <c r="D117" s="2" t="s">
        <v>567</v>
      </c>
      <c r="E117" s="2" t="s">
        <v>564</v>
      </c>
    </row>
    <row r="118" spans="4:5" x14ac:dyDescent="0.25">
      <c r="D118" s="2" t="s">
        <v>433</v>
      </c>
      <c r="E118" s="2" t="s">
        <v>423</v>
      </c>
    </row>
    <row r="119" spans="4:5" x14ac:dyDescent="0.25">
      <c r="D119" s="2" t="s">
        <v>434</v>
      </c>
      <c r="E119" s="2" t="s">
        <v>423</v>
      </c>
    </row>
    <row r="120" spans="4:5" x14ac:dyDescent="0.25">
      <c r="D120" s="2" t="s">
        <v>445</v>
      </c>
      <c r="E120" s="2" t="s">
        <v>423</v>
      </c>
    </row>
    <row r="121" spans="4:5" x14ac:dyDescent="0.25">
      <c r="D121" s="2" t="s">
        <v>469</v>
      </c>
      <c r="E121" s="2" t="s">
        <v>454</v>
      </c>
    </row>
    <row r="122" spans="4:5" x14ac:dyDescent="0.25">
      <c r="D122" s="2" t="s">
        <v>469</v>
      </c>
      <c r="E122" s="2" t="s">
        <v>484</v>
      </c>
    </row>
    <row r="123" spans="4:5" x14ac:dyDescent="0.25">
      <c r="D123" s="2" t="s">
        <v>353</v>
      </c>
      <c r="E123" s="2" t="s">
        <v>341</v>
      </c>
    </row>
    <row r="124" spans="4:5" x14ac:dyDescent="0.25">
      <c r="D124" s="2" t="s">
        <v>451</v>
      </c>
      <c r="E124" s="2" t="s">
        <v>447</v>
      </c>
    </row>
    <row r="125" spans="4:5" ht="30" x14ac:dyDescent="0.25">
      <c r="D125" s="2" t="s">
        <v>516</v>
      </c>
      <c r="E125" s="2" t="s">
        <v>505</v>
      </c>
    </row>
    <row r="126" spans="4:5" x14ac:dyDescent="0.25">
      <c r="D126" s="2" t="s">
        <v>493</v>
      </c>
      <c r="E126" s="2" t="s">
        <v>484</v>
      </c>
    </row>
    <row r="127" spans="4:5" ht="30" x14ac:dyDescent="0.25">
      <c r="D127" s="2" t="s">
        <v>572</v>
      </c>
      <c r="E127" s="2" t="s">
        <v>564</v>
      </c>
    </row>
    <row r="128" spans="4:5" x14ac:dyDescent="0.25">
      <c r="D128" s="2" t="s">
        <v>479</v>
      </c>
      <c r="E128" s="2" t="s">
        <v>470</v>
      </c>
    </row>
    <row r="129" spans="4:5" x14ac:dyDescent="0.25">
      <c r="D129" s="2" t="s">
        <v>435</v>
      </c>
      <c r="E129" s="2" t="s">
        <v>423</v>
      </c>
    </row>
    <row r="130" spans="4:5" x14ac:dyDescent="0.25">
      <c r="D130" s="2" t="s">
        <v>386</v>
      </c>
      <c r="E130" s="2" t="s">
        <v>378</v>
      </c>
    </row>
    <row r="131" spans="4:5" ht="30" x14ac:dyDescent="0.25">
      <c r="D131" s="2" t="s">
        <v>509</v>
      </c>
      <c r="E131" s="2" t="s">
        <v>505</v>
      </c>
    </row>
    <row r="132" spans="4:5" x14ac:dyDescent="0.25">
      <c r="D132" s="2" t="s">
        <v>462</v>
      </c>
      <c r="E132" s="2" t="s">
        <v>454</v>
      </c>
    </row>
    <row r="133" spans="4:5" x14ac:dyDescent="0.25">
      <c r="D133" s="2" t="s">
        <v>392</v>
      </c>
      <c r="E133" s="2" t="s">
        <v>389</v>
      </c>
    </row>
    <row r="134" spans="4:5" ht="30" x14ac:dyDescent="0.25">
      <c r="D134" s="2" t="s">
        <v>573</v>
      </c>
      <c r="E134" s="2" t="s">
        <v>564</v>
      </c>
    </row>
    <row r="135" spans="4:5" x14ac:dyDescent="0.25">
      <c r="D135" s="2" t="s">
        <v>406</v>
      </c>
      <c r="E135" s="2" t="s">
        <v>397</v>
      </c>
    </row>
    <row r="136" spans="4:5" x14ac:dyDescent="0.25">
      <c r="D136" s="2" t="s">
        <v>529</v>
      </c>
      <c r="E136" s="2" t="s">
        <v>529</v>
      </c>
    </row>
    <row r="137" spans="4:5" x14ac:dyDescent="0.25">
      <c r="D137" s="2" t="s">
        <v>559</v>
      </c>
      <c r="E137" s="2" t="s">
        <v>554</v>
      </c>
    </row>
    <row r="138" spans="4:5" x14ac:dyDescent="0.25">
      <c r="D138" s="2" t="s">
        <v>346</v>
      </c>
      <c r="E138" s="2" t="s">
        <v>341</v>
      </c>
    </row>
    <row r="139" spans="4:5" x14ac:dyDescent="0.25">
      <c r="D139" s="2" t="s">
        <v>500</v>
      </c>
      <c r="E139" s="2" t="s">
        <v>484</v>
      </c>
    </row>
    <row r="140" spans="4:5" ht="30" x14ac:dyDescent="0.25">
      <c r="D140" s="2" t="s">
        <v>436</v>
      </c>
      <c r="E140" s="2" t="s">
        <v>423</v>
      </c>
    </row>
    <row r="141" spans="4:5" ht="30" x14ac:dyDescent="0.25">
      <c r="D141" s="2" t="s">
        <v>536</v>
      </c>
      <c r="E141" s="2" t="s">
        <v>494</v>
      </c>
    </row>
    <row r="142" spans="4:5" ht="45" x14ac:dyDescent="0.25">
      <c r="D142" s="2" t="s">
        <v>539</v>
      </c>
      <c r="E142" s="2" t="s">
        <v>494</v>
      </c>
    </row>
    <row r="143" spans="4:5" x14ac:dyDescent="0.25">
      <c r="D143" s="2" t="s">
        <v>561</v>
      </c>
      <c r="E143" s="2" t="s">
        <v>554</v>
      </c>
    </row>
    <row r="144" spans="4:5" x14ac:dyDescent="0.25">
      <c r="D144" s="2" t="s">
        <v>387</v>
      </c>
      <c r="E144" s="2" t="s">
        <v>378</v>
      </c>
    </row>
    <row r="145" spans="4:5" x14ac:dyDescent="0.25">
      <c r="D145" s="2" t="s">
        <v>494</v>
      </c>
      <c r="E145" s="2" t="s">
        <v>484</v>
      </c>
    </row>
    <row r="146" spans="4:5" x14ac:dyDescent="0.25">
      <c r="D146" s="2" t="s">
        <v>562</v>
      </c>
      <c r="E146" s="2" t="s">
        <v>554</v>
      </c>
    </row>
    <row r="147" spans="4:5" x14ac:dyDescent="0.25">
      <c r="D147" s="2" t="s">
        <v>452</v>
      </c>
      <c r="E147" s="2" t="s">
        <v>447</v>
      </c>
    </row>
    <row r="148" spans="4:5" x14ac:dyDescent="0.25">
      <c r="D148" s="2" t="s">
        <v>463</v>
      </c>
      <c r="E148" s="2" t="s">
        <v>454</v>
      </c>
    </row>
    <row r="149" spans="4:5" x14ac:dyDescent="0.25">
      <c r="D149" s="2" t="s">
        <v>407</v>
      </c>
      <c r="E149" s="2" t="s">
        <v>397</v>
      </c>
    </row>
    <row r="150" spans="4:5" x14ac:dyDescent="0.25">
      <c r="D150" s="2" t="s">
        <v>440</v>
      </c>
      <c r="E150" s="2" t="s">
        <v>423</v>
      </c>
    </row>
    <row r="151" spans="4:5" x14ac:dyDescent="0.25">
      <c r="D151" s="2" t="s">
        <v>408</v>
      </c>
      <c r="E151" s="2" t="s">
        <v>397</v>
      </c>
    </row>
    <row r="152" spans="4:5" x14ac:dyDescent="0.25">
      <c r="D152" s="2" t="s">
        <v>485</v>
      </c>
      <c r="E152" s="2" t="s">
        <v>484</v>
      </c>
    </row>
    <row r="153" spans="4:5" x14ac:dyDescent="0.25">
      <c r="D153" s="2" t="s">
        <v>347</v>
      </c>
      <c r="E153" s="2" t="s">
        <v>341</v>
      </c>
    </row>
    <row r="154" spans="4:5" ht="30" x14ac:dyDescent="0.25">
      <c r="D154" s="2" t="s">
        <v>474</v>
      </c>
      <c r="E154" s="2" t="s">
        <v>470</v>
      </c>
    </row>
    <row r="155" spans="4:5" ht="30" x14ac:dyDescent="0.25">
      <c r="D155" s="2" t="s">
        <v>501</v>
      </c>
      <c r="E155" s="2" t="s">
        <v>484</v>
      </c>
    </row>
    <row r="156" spans="4:5" ht="30" x14ac:dyDescent="0.25">
      <c r="D156" s="2" t="s">
        <v>540</v>
      </c>
      <c r="E156" s="2" t="s">
        <v>494</v>
      </c>
    </row>
    <row r="157" spans="4:5" x14ac:dyDescent="0.25">
      <c r="D157" s="2" t="s">
        <v>393</v>
      </c>
      <c r="E157" s="2" t="s">
        <v>389</v>
      </c>
    </row>
    <row r="158" spans="4:5" x14ac:dyDescent="0.25">
      <c r="D158" s="2" t="s">
        <v>550</v>
      </c>
      <c r="E158" s="2" t="s">
        <v>547</v>
      </c>
    </row>
    <row r="159" spans="4:5" x14ac:dyDescent="0.25">
      <c r="D159" s="2" t="s">
        <v>464</v>
      </c>
      <c r="E159" s="2" t="s">
        <v>454</v>
      </c>
    </row>
    <row r="160" spans="4:5" x14ac:dyDescent="0.25">
      <c r="D160" s="2" t="s">
        <v>560</v>
      </c>
      <c r="E160" s="2" t="s">
        <v>554</v>
      </c>
    </row>
    <row r="161" spans="4:5" x14ac:dyDescent="0.25">
      <c r="D161" s="2" t="s">
        <v>475</v>
      </c>
      <c r="E161" s="2" t="s">
        <v>470</v>
      </c>
    </row>
    <row r="162" spans="4:5" x14ac:dyDescent="0.25">
      <c r="D162" s="2" t="s">
        <v>522</v>
      </c>
      <c r="E162" s="2" t="s">
        <v>518</v>
      </c>
    </row>
    <row r="163" spans="4:5" x14ac:dyDescent="0.25">
      <c r="D163" s="2" t="s">
        <v>468</v>
      </c>
      <c r="E163" s="2" t="s">
        <v>454</v>
      </c>
    </row>
    <row r="164" spans="4:5" x14ac:dyDescent="0.25">
      <c r="D164" s="2" t="s">
        <v>415</v>
      </c>
      <c r="E164" s="2" t="s">
        <v>412</v>
      </c>
    </row>
    <row r="165" spans="4:5" ht="30" x14ac:dyDescent="0.25">
      <c r="D165" s="2" t="s">
        <v>483</v>
      </c>
      <c r="E165" s="2" t="s">
        <v>470</v>
      </c>
    </row>
    <row r="166" spans="4:5" x14ac:dyDescent="0.25">
      <c r="D166" s="2" t="s">
        <v>533</v>
      </c>
      <c r="E166" s="2" t="s">
        <v>494</v>
      </c>
    </row>
    <row r="167" spans="4:5" x14ac:dyDescent="0.25">
      <c r="D167" s="2" t="s">
        <v>379</v>
      </c>
      <c r="E167" s="2" t="s">
        <v>378</v>
      </c>
    </row>
    <row r="168" spans="4:5" x14ac:dyDescent="0.25">
      <c r="D168" s="2" t="s">
        <v>418</v>
      </c>
      <c r="E168" s="2" t="s">
        <v>412</v>
      </c>
    </row>
    <row r="169" spans="4:5" x14ac:dyDescent="0.25">
      <c r="D169" s="2" t="s">
        <v>495</v>
      </c>
      <c r="E169" s="2" t="s">
        <v>484</v>
      </c>
    </row>
    <row r="170" spans="4:5" x14ac:dyDescent="0.25">
      <c r="D170" s="2" t="s">
        <v>537</v>
      </c>
      <c r="E170" s="2" t="s">
        <v>494</v>
      </c>
    </row>
    <row r="171" spans="4:5" x14ac:dyDescent="0.25">
      <c r="D171" s="2" t="s">
        <v>394</v>
      </c>
      <c r="E171" s="2" t="s">
        <v>389</v>
      </c>
    </row>
    <row r="172" spans="4:5" x14ac:dyDescent="0.25">
      <c r="D172" s="2" t="s">
        <v>543</v>
      </c>
      <c r="E172" s="2" t="s">
        <v>541</v>
      </c>
    </row>
    <row r="173" spans="4:5" x14ac:dyDescent="0.25">
      <c r="D173" s="2" t="s">
        <v>439</v>
      </c>
      <c r="E173" s="2" t="s">
        <v>423</v>
      </c>
    </row>
    <row r="174" spans="4:5" ht="30" x14ac:dyDescent="0.25">
      <c r="D174" s="2" t="s">
        <v>437</v>
      </c>
      <c r="E174" s="2" t="s">
        <v>423</v>
      </c>
    </row>
    <row r="175" spans="4:5" ht="30" x14ac:dyDescent="0.25">
      <c r="D175" s="2" t="s">
        <v>420</v>
      </c>
      <c r="E175" s="2" t="s">
        <v>419</v>
      </c>
    </row>
    <row r="176" spans="4:5" ht="30" x14ac:dyDescent="0.25">
      <c r="D176" s="2" t="s">
        <v>348</v>
      </c>
      <c r="E176" s="2" t="s">
        <v>341</v>
      </c>
    </row>
    <row r="177" spans="4:5" ht="30" x14ac:dyDescent="0.25">
      <c r="D177" s="2" t="s">
        <v>513</v>
      </c>
      <c r="E177" s="2" t="s">
        <v>505</v>
      </c>
    </row>
    <row r="178" spans="4:5" ht="30" x14ac:dyDescent="0.25">
      <c r="D178" s="2" t="s">
        <v>416</v>
      </c>
      <c r="E178" s="2" t="s">
        <v>412</v>
      </c>
    </row>
    <row r="179" spans="4:5" x14ac:dyDescent="0.25">
      <c r="D179" s="2" t="s">
        <v>362</v>
      </c>
      <c r="E179" s="2" t="s">
        <v>357</v>
      </c>
    </row>
    <row r="180" spans="4:5" ht="45" x14ac:dyDescent="0.25">
      <c r="D180" s="2" t="s">
        <v>538</v>
      </c>
      <c r="E180" s="2" t="s">
        <v>494</v>
      </c>
    </row>
    <row r="181" spans="4:5" ht="30" x14ac:dyDescent="0.25">
      <c r="D181" s="2" t="s">
        <v>377</v>
      </c>
      <c r="E181" s="2" t="s">
        <v>372</v>
      </c>
    </row>
    <row r="182" spans="4:5" x14ac:dyDescent="0.25">
      <c r="D182" s="2" t="s">
        <v>504</v>
      </c>
      <c r="E182" s="2" t="s">
        <v>484</v>
      </c>
    </row>
    <row r="183" spans="4:5" x14ac:dyDescent="0.25">
      <c r="D183" s="2" t="s">
        <v>496</v>
      </c>
      <c r="E183" s="2" t="s">
        <v>484</v>
      </c>
    </row>
    <row r="184" spans="4:5" x14ac:dyDescent="0.25">
      <c r="D184" s="2" t="s">
        <v>531</v>
      </c>
      <c r="E184" s="2" t="s">
        <v>529</v>
      </c>
    </row>
    <row r="185" spans="4:5" x14ac:dyDescent="0.25">
      <c r="D185" s="2" t="s">
        <v>422</v>
      </c>
      <c r="E185" s="2" t="s">
        <v>419</v>
      </c>
    </row>
    <row r="186" spans="4:5" x14ac:dyDescent="0.25">
      <c r="D186" s="2" t="s">
        <v>541</v>
      </c>
      <c r="E186" s="2" t="s">
        <v>541</v>
      </c>
    </row>
    <row r="187" spans="4:5" ht="30" x14ac:dyDescent="0.25">
      <c r="D187" s="2" t="s">
        <v>349</v>
      </c>
      <c r="E187" s="2" t="s">
        <v>341</v>
      </c>
    </row>
    <row r="188" spans="4:5" x14ac:dyDescent="0.25">
      <c r="D188" s="2" t="s">
        <v>438</v>
      </c>
      <c r="E188" s="2" t="s">
        <v>423</v>
      </c>
    </row>
    <row r="189" spans="4:5" x14ac:dyDescent="0.25">
      <c r="D189" s="2" t="s">
        <v>409</v>
      </c>
      <c r="E189" s="2" t="s">
        <v>397</v>
      </c>
    </row>
    <row r="190" spans="4:5" ht="30" x14ac:dyDescent="0.25">
      <c r="D190" s="2" t="s">
        <v>510</v>
      </c>
      <c r="E190" s="2" t="s">
        <v>505</v>
      </c>
    </row>
    <row r="191" spans="4:5" ht="30" x14ac:dyDescent="0.25">
      <c r="D191" s="2" t="s">
        <v>545</v>
      </c>
      <c r="E191" s="2" t="s">
        <v>544</v>
      </c>
    </row>
    <row r="192" spans="4:5" x14ac:dyDescent="0.25">
      <c r="D192" s="2" t="s">
        <v>395</v>
      </c>
      <c r="E192" s="2" t="s">
        <v>389</v>
      </c>
    </row>
    <row r="193" spans="4:5" x14ac:dyDescent="0.25">
      <c r="D193" s="2" t="s">
        <v>465</v>
      </c>
      <c r="E193" s="2" t="s">
        <v>454</v>
      </c>
    </row>
    <row r="194" spans="4:5" ht="30" x14ac:dyDescent="0.25">
      <c r="D194" s="2" t="s">
        <v>354</v>
      </c>
      <c r="E194" s="2" t="s">
        <v>341</v>
      </c>
    </row>
    <row r="195" spans="4:5" ht="30" x14ac:dyDescent="0.25">
      <c r="D195" s="2" t="s">
        <v>551</v>
      </c>
      <c r="E195" s="2" t="s">
        <v>547</v>
      </c>
    </row>
    <row r="196" spans="4:5" x14ac:dyDescent="0.25">
      <c r="D196" s="2" t="s">
        <v>396</v>
      </c>
      <c r="E196" s="2" t="s">
        <v>389</v>
      </c>
    </row>
    <row r="197" spans="4:5" x14ac:dyDescent="0.25">
      <c r="D197" s="2" t="s">
        <v>350</v>
      </c>
      <c r="E197" s="2" t="s">
        <v>341</v>
      </c>
    </row>
    <row r="198" spans="4:5" ht="30" x14ac:dyDescent="0.25">
      <c r="D198" s="2" t="s">
        <v>441</v>
      </c>
      <c r="E198" s="2" t="s">
        <v>423</v>
      </c>
    </row>
    <row r="199" spans="4:5" x14ac:dyDescent="0.25">
      <c r="D199" s="2" t="s">
        <v>466</v>
      </c>
      <c r="E199" s="2" t="s">
        <v>454</v>
      </c>
    </row>
    <row r="200" spans="4:5" x14ac:dyDescent="0.25">
      <c r="D200" s="2" t="s">
        <v>497</v>
      </c>
      <c r="E200" s="2" t="s">
        <v>484</v>
      </c>
    </row>
    <row r="201" spans="4:5" ht="30" x14ac:dyDescent="0.25">
      <c r="D201" s="2" t="s">
        <v>511</v>
      </c>
      <c r="E201" s="2" t="s">
        <v>505</v>
      </c>
    </row>
    <row r="202" spans="4:5" x14ac:dyDescent="0.25">
      <c r="D202" s="2" t="s">
        <v>547</v>
      </c>
      <c r="E202" s="2" t="s">
        <v>547</v>
      </c>
    </row>
    <row r="203" spans="4:5" x14ac:dyDescent="0.25">
      <c r="D203" s="2" t="s">
        <v>371</v>
      </c>
      <c r="E203" s="2" t="s">
        <v>365</v>
      </c>
    </row>
    <row r="204" spans="4:5" ht="30" x14ac:dyDescent="0.25">
      <c r="D204" s="2" t="s">
        <v>514</v>
      </c>
      <c r="E204" s="2" t="s">
        <v>505</v>
      </c>
    </row>
    <row r="205" spans="4:5" x14ac:dyDescent="0.25">
      <c r="D205" s="2" t="s">
        <v>519</v>
      </c>
      <c r="E205" s="2" t="s">
        <v>518</v>
      </c>
    </row>
    <row r="206" spans="4:5" x14ac:dyDescent="0.25">
      <c r="D206" s="2" t="s">
        <v>563</v>
      </c>
      <c r="E206" s="2" t="s">
        <v>554</v>
      </c>
    </row>
    <row r="207" spans="4:5" ht="30" x14ac:dyDescent="0.25">
      <c r="D207" s="2" t="s">
        <v>517</v>
      </c>
      <c r="E207" s="2" t="s">
        <v>505</v>
      </c>
    </row>
    <row r="208" spans="4:5" x14ac:dyDescent="0.25">
      <c r="D208" s="2" t="s">
        <v>498</v>
      </c>
      <c r="E208" s="2" t="s">
        <v>484</v>
      </c>
    </row>
    <row r="209" spans="4:5" x14ac:dyDescent="0.25">
      <c r="D209" s="2" t="s">
        <v>373</v>
      </c>
      <c r="E209" s="2" t="s">
        <v>372</v>
      </c>
    </row>
    <row r="210" spans="4:5" x14ac:dyDescent="0.25">
      <c r="D210" s="2" t="s">
        <v>453</v>
      </c>
      <c r="E210" s="2" t="s">
        <v>447</v>
      </c>
    </row>
    <row r="211" spans="4:5" x14ac:dyDescent="0.25">
      <c r="D211" s="2" t="s">
        <v>476</v>
      </c>
      <c r="E211" s="2" t="s">
        <v>470</v>
      </c>
    </row>
    <row r="212" spans="4:5" x14ac:dyDescent="0.25">
      <c r="D212" s="2" t="s">
        <v>481</v>
      </c>
      <c r="E212" s="2" t="s">
        <v>470</v>
      </c>
    </row>
    <row r="213" spans="4:5" x14ac:dyDescent="0.25">
      <c r="D213" s="2" t="s">
        <v>477</v>
      </c>
      <c r="E213" s="2" t="s">
        <v>470</v>
      </c>
    </row>
    <row r="214" spans="4:5" x14ac:dyDescent="0.25">
      <c r="D214" s="2" t="s">
        <v>478</v>
      </c>
      <c r="E214" s="2" t="s">
        <v>470</v>
      </c>
    </row>
    <row r="215" spans="4:5" ht="30" x14ac:dyDescent="0.25">
      <c r="D215" s="2" t="s">
        <v>568</v>
      </c>
      <c r="E215" s="2" t="s">
        <v>564</v>
      </c>
    </row>
    <row r="216" spans="4:5" x14ac:dyDescent="0.25">
      <c r="D216" s="2" t="s">
        <v>442</v>
      </c>
      <c r="E216" s="2" t="s">
        <v>423</v>
      </c>
    </row>
    <row r="217" spans="4:5" ht="30" x14ac:dyDescent="0.25">
      <c r="D217" s="2" t="s">
        <v>569</v>
      </c>
      <c r="E217" s="2" t="s">
        <v>564</v>
      </c>
    </row>
    <row r="218" spans="4:5" ht="30" x14ac:dyDescent="0.25">
      <c r="D218" s="2" t="s">
        <v>565</v>
      </c>
      <c r="E218" s="2" t="s">
        <v>564</v>
      </c>
    </row>
    <row r="219" spans="4:5" x14ac:dyDescent="0.25">
      <c r="D219" s="2" t="s">
        <v>467</v>
      </c>
      <c r="E219" s="2" t="s">
        <v>454</v>
      </c>
    </row>
    <row r="220" spans="4:5" x14ac:dyDescent="0.25">
      <c r="D220" s="2" t="s">
        <v>410</v>
      </c>
      <c r="E220" s="2" t="s">
        <v>397</v>
      </c>
    </row>
  </sheetData>
  <sortState xmlns:xlrd2="http://schemas.microsoft.com/office/spreadsheetml/2017/richdata2" ref="D2:E221">
    <sortCondition ref="D2:D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</vt:i4>
      </vt:variant>
    </vt:vector>
  </HeadingPairs>
  <TitlesOfParts>
    <vt:vector size="7" baseType="lpstr">
      <vt:lpstr>Hoja1</vt:lpstr>
      <vt:lpstr>Hoja2</vt:lpstr>
      <vt:lpstr>CALIFICACION</vt:lpstr>
      <vt:lpstr>Cantón</vt:lpstr>
      <vt:lpstr>Código</vt:lpstr>
      <vt:lpstr>Evento</vt:lpstr>
      <vt:lpstr>Tipo_de_cantón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Morales Corozo</dc:creator>
  <cp:lastModifiedBy>Usuario</cp:lastModifiedBy>
  <dcterms:created xsi:type="dcterms:W3CDTF">2026-06-20T16:13:02Z</dcterms:created>
  <dcterms:modified xsi:type="dcterms:W3CDTF">2026-06-24T20:29:17Z</dcterms:modified>
</cp:coreProperties>
</file>